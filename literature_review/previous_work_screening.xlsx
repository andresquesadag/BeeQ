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drawings/drawing1.xml" ContentType="application/vnd.openxmlformats-officedocument.drawing+xml"/>
  <Override PartName="/xl/tables/table1.xml" ContentType="application/vnd.openxmlformats-officedocument.spreadsheetml.table+xml"/>
  <Override PartName="/xl/worksheets/sheet8.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tables/table7.xml" ContentType="application/vnd.openxmlformats-officedocument.spreadsheetml.tabl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9"/>
  </bookViews>
  <sheets>
    <sheet name="Screening" sheetId="1" state="visible" r:id="rId1"/>
    <sheet name="Core only" sheetId="2" state="visible" r:id="rId2"/>
    <sheet name="Duplicates" sheetId="3" state="visible" r:id="rId3"/>
    <sheet name="Summary" sheetId="4" state="visible" r:id="rId4"/>
    <sheet name="Search queries" sheetId="5" state="visible" r:id="rId5"/>
    <sheet name="All search hits" sheetId="6" state="visible" r:id="rId6"/>
    <sheet name="Scopus metadata" sheetId="7" state="visible" r:id="rId7"/>
    <sheet name="Screening process" sheetId="8" state="visible" r:id="rId8"/>
    <sheet name="Stage 2 triage" sheetId="9" state="visible" r:id="rId9"/>
    <sheet name="Read First" sheetId="10" state="visible" r:id="rId10"/>
  </sheets>
  <calcPr/>
  <extLst>
    <ext xmlns:x15="http://schemas.microsoft.com/office/spreadsheetml/2010/11/main" uri="{D0CA8CA8-9F24-4464-BF8E-62219DCF47F9}"/>
  </extLst>
</workbook>
</file>

<file path=xl/sharedStrings.xml><?xml version="1.0" encoding="utf-8"?>
<sst xmlns="http://schemas.openxmlformats.org/spreadsheetml/2006/main" count="2779" uniqueCount="2779">
  <si>
    <t>#</t>
  </si>
  <si>
    <t>Year</t>
  </si>
  <si>
    <t>Title</t>
  </si>
  <si>
    <t xml:space="preserve">Found in search(es)</t>
  </si>
  <si>
    <t xml:space="preserve">Duplicate across searches?</t>
  </si>
  <si>
    <t>Decision</t>
  </si>
  <si>
    <t>Priority</t>
  </si>
  <si>
    <t xml:space="preserve">Relevance category</t>
  </si>
  <si>
    <t xml:space="preserve">AI / ML / QML?</t>
  </si>
  <si>
    <t xml:space="preserve">What is predicted?</t>
  </si>
  <si>
    <t>Task</t>
  </si>
  <si>
    <t xml:space="preserve">Dataset / N</t>
  </si>
  <si>
    <t xml:space="preserve">Input / representation</t>
  </si>
  <si>
    <t xml:space="preserve">Models / approach</t>
  </si>
  <si>
    <t>Validation</t>
  </si>
  <si>
    <t xml:space="preserve">Reported result</t>
  </si>
  <si>
    <t xml:space="preserve">Quantum relation</t>
  </si>
  <si>
    <t xml:space="preserve">Why useful for our paper?</t>
  </si>
  <si>
    <t xml:space="preserve">Source title</t>
  </si>
  <si>
    <t>DOI</t>
  </si>
  <si>
    <t xml:space="preserve">Scopus link</t>
  </si>
  <si>
    <t xml:space="preserve">Open access</t>
  </si>
  <si>
    <t>2018</t>
  </si>
  <si>
    <t xml:space="preserve">QSAR modeling in ecotoxicological risk assessment: application to the prediction of acute contact toxicity of pesticides on bees (Apis mellifera L.)</t>
  </si>
  <si>
    <t xml:space="preserve">Bee toxicity ML</t>
  </si>
  <si>
    <t>No</t>
  </si>
  <si>
    <t>Core</t>
  </si>
  <si>
    <t>High</t>
  </si>
  <si>
    <t xml:space="preserve">Direct honey-bee toxicity ML / QSAR</t>
  </si>
  <si>
    <t xml:space="preserve">ML / QSAR</t>
  </si>
  <si>
    <t xml:space="preserve">Honey-bee / Apis mellifera toxicity</t>
  </si>
  <si>
    <t xml:space="preserve">Classification / regression</t>
  </si>
  <si>
    <t xml:space="preserve">111 pesticides</t>
  </si>
  <si>
    <t xml:space="preserve">NR in supplied metadata</t>
  </si>
  <si>
    <t xml:space="preserve">ML / QSAR model</t>
  </si>
  <si>
    <t xml:space="preserve">External validation</t>
  </si>
  <si>
    <t xml:space="preserve">A good correlation between predicted and experimental values was found (R2 = 0.97 and RMSE = 0.14).</t>
  </si>
  <si>
    <t xml:space="preserve">Direct prior art for the target endpoint; useful for comparing datasets, molecular representations, classical baselines, validation and reported limitations.</t>
  </si>
  <si>
    <t xml:space="preserve">Environmental Science and Pollution Research</t>
  </si>
  <si>
    <t>https://doi.org/10.1007/s11356-017-0498-9</t>
  </si>
  <si>
    <t>https://www.scopus.com/pages/publications/85032016580?origin=resultslist</t>
  </si>
  <si>
    <t>2026</t>
  </si>
  <si>
    <t xml:space="preserve">Meditox: integrating machine learning and molecular data for accurate drug toxicity prediction</t>
  </si>
  <si>
    <t xml:space="preserve">Bee toxicity ML | Molecular toxicity ML</t>
  </si>
  <si>
    <t>Yes</t>
  </si>
  <si>
    <t xml:space="preserve">Transferable classical molecular toxicity / ecotoxicity ML</t>
  </si>
  <si>
    <t xml:space="preserve">DL / neural network</t>
  </si>
  <si>
    <t xml:space="preserve">Mutagenicity / Ames</t>
  </si>
  <si>
    <t xml:space="preserve">Predictive modeling / methodology</t>
  </si>
  <si>
    <t xml:space="preserve">Molecular fingerprints; Molecular descriptors</t>
  </si>
  <si>
    <t xml:space="preserve">External test; Cross-validation</t>
  </si>
  <si>
    <t xml:space="preserve">High accuracy and generalizability were validated by external testing and cross-validation.</t>
  </si>
  <si>
    <t xml:space="preserve">Transferable methodology for strengthening classical baselines, representation analysis, validation, interpretability or generalization beyond the base bee-toxicity study.</t>
  </si>
  <si>
    <t xml:space="preserve">Recent Trends in Data Analytics and Computing: Exploring Emerging Technologies and Future Directions, A proceeding of ICADAC – 2025</t>
  </si>
  <si>
    <t>https://doi.org/10.1201/9781003724995-17</t>
  </si>
  <si>
    <t>https://www.scopus.com/pages/publications/105027494742?origin=resultslist</t>
  </si>
  <si>
    <t>2023</t>
  </si>
  <si>
    <t xml:space="preserve">Application of machine learning models to predict cytotoxicity of ionic liquids using VolSurf principal properties</t>
  </si>
  <si>
    <t>Exclude</t>
  </si>
  <si>
    <t>Low</t>
  </si>
  <si>
    <t xml:space="preserve">Search noise / outside scope</t>
  </si>
  <si>
    <t>Cytotoxicity</t>
  </si>
  <si>
    <t>Regression</t>
  </si>
  <si>
    <t xml:space="preserve">Molecular descriptors</t>
  </si>
  <si>
    <t xml:space="preserve">Random Forest; XGBoost; Gradient Boosting; SVM/SVR</t>
  </si>
  <si>
    <t xml:space="preserve">Analysis of the performance of the models on predicting the out-of-sample data set showed that the Extreme Gradient Boosting (XGBoost) supervised machine learning model is the best in predicting with the highest test score (R2 = 0.79).</t>
  </si>
  <si>
    <t xml:space="preserve">Outside the bee-toxicity, transferable molecular-toxicity, or molecular-QML scope of the three searches.</t>
  </si>
  <si>
    <t xml:space="preserve">Computational Toxicology</t>
  </si>
  <si>
    <t>https://doi.org/10.1016/j.comtox.2023.100266</t>
  </si>
  <si>
    <t>https://www.scopus.com/pages/publications/85150289613?origin=resultslist</t>
  </si>
  <si>
    <t>2016</t>
  </si>
  <si>
    <t xml:space="preserve">Extending standard testing period in honeybees to predict lifespan impacts of pesticides and heavy metals using dynamic energy budget modelling</t>
  </si>
  <si>
    <t>Supporting</t>
  </si>
  <si>
    <t>Medium</t>
  </si>
  <si>
    <t xml:space="preserve">Honey-bee toxicology / problem context</t>
  </si>
  <si>
    <t xml:space="preserve">Non-ML / experimental or contextual</t>
  </si>
  <si>
    <t xml:space="preserve">NR in supplied abstract</t>
  </si>
  <si>
    <t xml:space="preserve">Useful for problem justification, endpoint interpretation, exposure mechanisms, species sensitivity or limitations not captured by structure-only ML.</t>
  </si>
  <si>
    <t xml:space="preserve">Scientific Reports</t>
  </si>
  <si>
    <t>https://doi.org/10.1038/srep37655</t>
  </si>
  <si>
    <t>https://www.scopus.com/pages/publications/85007010733?origin=resultslist</t>
  </si>
  <si>
    <t xml:space="preserve">All Open Access; Gold Open Access; Green Open Access</t>
  </si>
  <si>
    <t>2024</t>
  </si>
  <si>
    <t xml:space="preserve">Predictionof Environmental FateandToxicityofInsecticidesUsing Multi-Target QSAR Approach</t>
  </si>
  <si>
    <t xml:space="preserve">Chemical ecotoxicity</t>
  </si>
  <si>
    <t xml:space="preserve">Molecular descriptors; PCA / reduced features</t>
  </si>
  <si>
    <t xml:space="preserve">Neural network</t>
  </si>
  <si>
    <t xml:space="preserve">The developed well-trained model (RMSE=0.83, MPE=0.004, CCC=0.82, IIC=0.78, R2=0.69) was statistically robust as indicated by the external validation parameters (RMSE=0.93, MPE=0.008, CCC=0.77, IIC=0.68, R2=0.61).</t>
  </si>
  <si>
    <t xml:space="preserve">Chemistry and Biodiversity</t>
  </si>
  <si>
    <t>https://doi.org/10.1002/cbdv.202301213</t>
  </si>
  <si>
    <t>https://www.scopus.com/pages/publications/85179909139?origin=resultslist</t>
  </si>
  <si>
    <t xml:space="preserve">Machine learning-driven QSAR models for predicting the mixture toxicity of nanoparticles</t>
  </si>
  <si>
    <t xml:space="preserve">SVM/SVR; Neural network</t>
  </si>
  <si>
    <t xml:space="preserve">Applicability-domain analysis</t>
  </si>
  <si>
    <t xml:space="preserve">Environment International</t>
  </si>
  <si>
    <t>https://doi.org/10.1016/j.envint.2023.108025</t>
  </si>
  <si>
    <t>https://www.scopus.com/pages/publications/85162138083?origin=resultslist</t>
  </si>
  <si>
    <t xml:space="preserve">Joint exposure to sulfoxaflor and prochloraz alters enzymatic and genetic profiles in honey bees (Apis mellifera L.)</t>
  </si>
  <si>
    <t xml:space="preserve">Honey-bee pesticide mixture toxicity</t>
  </si>
  <si>
    <t xml:space="preserve">Experimental / risk-assessment study</t>
  </si>
  <si>
    <t xml:space="preserve">Pesticide Biochemistry and Physiology</t>
  </si>
  <si>
    <t>https://doi.org/10.1016/j.pestbp.2026.106953</t>
  </si>
  <si>
    <t>https://www.scopus.com/pages/publications/105029319222?origin=resultslist</t>
  </si>
  <si>
    <t xml:space="preserve">BeeMSAI: A multi-dimensional evaluation strategy for honeybee toxicity in agrochemicals integrating mode of action, structural analysis, and AI–powered prediction</t>
  </si>
  <si>
    <t>Classification</t>
  </si>
  <si>
    <t xml:space="preserve">SVM/SVR; GAT; Neural network</t>
  </si>
  <si>
    <t xml:space="preserve">The support vector machine model showed robust predictive performance with an overall accuracy of 81.82 %, with the accuracy for neonicotinoids and new pesticides being 84.21 % and 80.77 %, respectively.</t>
  </si>
  <si>
    <t xml:space="preserve">Journal of Hazardous Materials</t>
  </si>
  <si>
    <t>https://doi.org/10.1016/j.jhazmat.2025.141018</t>
  </si>
  <si>
    <t>https://www.scopus.com/pages/publications/105027181923?origin=resultslist</t>
  </si>
  <si>
    <t>2020</t>
  </si>
  <si>
    <t xml:space="preserve">QSAR modeling of the toxicity classification of superparamagnetic iron oxide nanoparticles (SPIONs) in stem-cell monitoring applications: An integrated study from data curation to model development</t>
  </si>
  <si>
    <t xml:space="preserve">Chemical / molecular toxicity</t>
  </si>
  <si>
    <t xml:space="preserve">Molecular graphs</t>
  </si>
  <si>
    <t xml:space="preserve">RSC Advances</t>
  </si>
  <si>
    <t>https://doi.org/10.1039/c9ra09475j</t>
  </si>
  <si>
    <t>https://www.scopus.com/pages/publications/85079233773?origin=resultslist</t>
  </si>
  <si>
    <t>2025</t>
  </si>
  <si>
    <t xml:space="preserve">Developing Computational Toxicology Models to Assess the Risk of Environmental Pollutants on Ecosystem Health</t>
  </si>
  <si>
    <t xml:space="preserve">Random Forest; SVM/SVR; Neural network; kNN</t>
  </si>
  <si>
    <t xml:space="preserve">The models achieved accuracies of 69%, 80%, 71%, and 96% respectively, highlighting the superior performance of the Random Forest approach when compared with other traditional models.</t>
  </si>
  <si>
    <t xml:space="preserve">INDISCON 2025 - IEEE 6th India Council International Subsections Conference, Proceedings</t>
  </si>
  <si>
    <t>https://doi.org/10.1109/INDISCON66021.2025.11254833</t>
  </si>
  <si>
    <t>https://www.scopus.com/pages/publications/105030159313?origin=resultslist</t>
  </si>
  <si>
    <t xml:space="preserve">Predicting the acute ecotoxicity of chemical substances by machine learning using graph theory</t>
  </si>
  <si>
    <t>MACCS</t>
  </si>
  <si>
    <t xml:space="preserve">Linear Regression</t>
  </si>
  <si>
    <t xml:space="preserve">Due to empirical classification, the prediction accuracy does not improve even if new ecotoxicity test data are added.</t>
  </si>
  <si>
    <t>Chemosphere</t>
  </si>
  <si>
    <t>https://doi.org/10.1016/j.chemosphere.2019.124604</t>
  </si>
  <si>
    <t>https://www.scopus.com/pages/publications/85071052153?origin=resultslist</t>
  </si>
  <si>
    <t>2019</t>
  </si>
  <si>
    <t xml:space="preserve">Could deep learning in neural networks improve the QSAR models?</t>
  </si>
  <si>
    <t xml:space="preserve">Molecular descriptors; Molecular graphs; SMILES</t>
  </si>
  <si>
    <t xml:space="preserve">Results of our networks, trained on a ~20K molecule dataset with Ames test experimental values, match or even outperform the current state of the art.</t>
  </si>
  <si>
    <t xml:space="preserve">SAR and QSAR in Environmental Research</t>
  </si>
  <si>
    <t>https://doi.org/10.1080/1062936X.2019.1650827</t>
  </si>
  <si>
    <t>https://www.scopus.com/pages/publications/85071324022?origin=resultslist</t>
  </si>
  <si>
    <t xml:space="preserve">QSAR modeling of tox21 challenge stress response and nuclear receptor signaling toxicity assays</t>
  </si>
  <si>
    <t>Tox21</t>
  </si>
  <si>
    <t xml:space="preserve">Random Forest; Neural network</t>
  </si>
  <si>
    <t xml:space="preserve">All of our models were statistically significant for each of the 12 assays with the balanced accuracy in the range between 0.58 and 0.82.</t>
  </si>
  <si>
    <t xml:space="preserve">Frontiers in Environmental Science</t>
  </si>
  <si>
    <t>https://doi.org/10.3389/fenvs.2016.00003</t>
  </si>
  <si>
    <t>https://www.scopus.com/pages/publications/85014162342?origin=resultslist</t>
  </si>
  <si>
    <t xml:space="preserve">All Open Access; Gold Open Access</t>
  </si>
  <si>
    <t xml:space="preserve">Predicting acute contact toxicity of organic binary mixtures in honey bees (A. mellifera) through innovative QSAR models</t>
  </si>
  <si>
    <t xml:space="preserve">Molecular graphs; SMILES</t>
  </si>
  <si>
    <t xml:space="preserve">The two regression models were validated for their reliability and robustness (R2 = 0.89, CCC = 0.92, Q2 = 0.81; R2 = 0.87, CCC = 0.89, Q2 = 0.75).</t>
  </si>
  <si>
    <t xml:space="preserve">Science of the Total Environment</t>
  </si>
  <si>
    <t>https://doi.org/10.1016/j.scitotenv.2019.135302</t>
  </si>
  <si>
    <t>https://www.scopus.com/pages/publications/85076609141?origin=resultslist</t>
  </si>
  <si>
    <t xml:space="preserve">All Open Access; Bronze Open Access; Green Open Access</t>
  </si>
  <si>
    <t xml:space="preserve">Using honey bee flight activity data and a deep learning model as a toxicovigilance tool</t>
  </si>
  <si>
    <t xml:space="preserve">Honey-bee health / toxicity-related outcome</t>
  </si>
  <si>
    <t xml:space="preserve">However, the highest classification accuracy of 99%, a Cohen Kappa of 0.9766, a precision of 0.99, a recall of 0.99, and an F1-score of 0.99 was achieved with the model trained on 25 days of activity data, signifying near-perfect classification ability.</t>
  </si>
  <si>
    <t xml:space="preserve">Ecological Informatics</t>
  </si>
  <si>
    <t>https://doi.org/10.1016/j.ecoinf.2024.102653</t>
  </si>
  <si>
    <t>https://www.scopus.com/pages/publications/85194578152?origin=resultslist</t>
  </si>
  <si>
    <t xml:space="preserve">Comprehensive hepatotoxicity prediction: ensemble model integrating machine learning and deep learning</t>
  </si>
  <si>
    <t xml:space="preserve">Hepatotoxicity / liver toxicity</t>
  </si>
  <si>
    <t xml:space="preserve">Review / guidance</t>
  </si>
  <si>
    <t xml:space="preserve">2588 chemicals</t>
  </si>
  <si>
    <t>Ensemble</t>
  </si>
  <si>
    <t xml:space="preserve">Results: The voting ensemble classifier emerged as the optimal model, achieving an excellent prediction accuracy of 80.26%, AUC of 82.84%, and recall of over 93% followed by bagging and stacking ensemble classifiers method.</t>
  </si>
  <si>
    <t xml:space="preserve">Frontiers in Pharmacology</t>
  </si>
  <si>
    <t>https://doi.org/10.3389/fphar.2024.1441587</t>
  </si>
  <si>
    <t>https://www.scopus.com/pages/publications/85203458932?origin=resultslist</t>
  </si>
  <si>
    <t xml:space="preserve">A Comparative Evaluation of Machine Learning and Deep Graph Learning for Chemical Ecotoxicological Prediction</t>
  </si>
  <si>
    <t xml:space="preserve">Morgan fingerprints; MACCS; Molecular fingerprints; Molecular graphs / GNN representation</t>
  </si>
  <si>
    <t xml:space="preserve">GNN; GCN; Neural network</t>
  </si>
  <si>
    <t xml:space="preserve">In the same-species predictions, GCN models achieved the highest values of area under the ROC curve (AUC), ranging between 0.982 and 0.992.</t>
  </si>
  <si>
    <t xml:space="preserve">ACS Omega</t>
  </si>
  <si>
    <t>https://doi.org/10.1021/acsomega.5c03753</t>
  </si>
  <si>
    <t>https://www.scopus.com/pages/publications/105014545066?origin=resultslist</t>
  </si>
  <si>
    <t xml:space="preserve">A QSAR-machine learning hybrid model for predicting the ecotoxicity of soil organic compounds and deriving thresholds</t>
  </si>
  <si>
    <t xml:space="preserve">Classical ML with quantum-chemical information</t>
  </si>
  <si>
    <t xml:space="preserve">305 compounds</t>
  </si>
  <si>
    <t xml:space="preserve">Molecular descriptors; Molecular graphs</t>
  </si>
  <si>
    <t xml:space="preserve">Random Forest; XGBoost; CatBoost</t>
  </si>
  <si>
    <t xml:space="preserve">The ecological thresholds were derived via species sensitivity distribution (SSD).</t>
  </si>
  <si>
    <t xml:space="preserve">Quantum chemistry / QM features; not QML</t>
  </si>
  <si>
    <t xml:space="preserve">Journal of Cleaner Production</t>
  </si>
  <si>
    <t>https://doi.org/10.1016/j.jclepro.2026.147869</t>
  </si>
  <si>
    <t>https://www.scopus.com/pages/publications/105030933470?origin=resultslist</t>
  </si>
  <si>
    <t xml:space="preserve">Spatial non-targeted screening and machine learning-based risk assessment of organic pollutants in honey from Bhakkar District, Pakistan</t>
  </si>
  <si>
    <t>CatBoost</t>
  </si>
  <si>
    <t xml:space="preserve">To predict HRI values and identify contributing factors, supervised machine learning (ML) models were developed and optimized using the Optuna framework, with the Categorical Boosting (CatBoost) model achieving the highest predictive accuracy (R2 = 91.31%, RMSE = 0.125, MAE = 0.079).</t>
  </si>
  <si>
    <t xml:space="preserve">Journal of Environmental Chemical Engineering</t>
  </si>
  <si>
    <t>https://doi.org/10.1016/j.jece.2025.118509</t>
  </si>
  <si>
    <t>https://www.scopus.com/pages/publications/105015138470?origin=resultslist</t>
  </si>
  <si>
    <t xml:space="preserve">All Open Access; Hybrid Gold Open Access</t>
  </si>
  <si>
    <t>2021</t>
  </si>
  <si>
    <t xml:space="preserve">Multi-biomarker approach and IBR index to evaluate the effects of different contaminants on the ecotoxicological status of Apis mellifera</t>
  </si>
  <si>
    <t xml:space="preserve">Ecotoxicology and Environmental Safety</t>
  </si>
  <si>
    <t>https://doi.org/10.1016/j.ecoenv.2020.111486</t>
  </si>
  <si>
    <t>https://www.scopus.com/pages/publications/85094624286?origin=resultslist</t>
  </si>
  <si>
    <t xml:space="preserve">All Open Access; Green Open Access; Hybrid Gold Open Access</t>
  </si>
  <si>
    <t xml:space="preserve">Poisoning due to Spinosad in honey bees: toxicological report</t>
  </si>
  <si>
    <t xml:space="preserve">Journal of Apicultural Research</t>
  </si>
  <si>
    <t>https://doi.org/10.1080/00218839.2024.2425913</t>
  </si>
  <si>
    <t>https://www.scopus.com/pages/publications/85210160671?origin=resultslist</t>
  </si>
  <si>
    <t xml:space="preserve">Interpretable multi-modality consensus QSAR framework: integrating machine and deep learning for enhanced multi-endpoint toxicity assessment</t>
  </si>
  <si>
    <t xml:space="preserve">160 compounds</t>
  </si>
  <si>
    <t xml:space="preserve">Random Forest; Gradient Boosting; SVM/SVR; Neural network</t>
  </si>
  <si>
    <t xml:space="preserve">Cross-validation; Applicability-domain analysis</t>
  </si>
  <si>
    <t xml:space="preserve">Models for each descriptor–algorithm combination were optimized using 10-fold cross-validation, and top-performing models were combined into weighted multi-modality consensus predictors based on cross-validated area under the receiver operating characteristic curve (AUC) weights.</t>
  </si>
  <si>
    <t xml:space="preserve">Toxicology Mechanisms and Methods</t>
  </si>
  <si>
    <t>https://doi.org/10.1080/15376516.2026.2643659</t>
  </si>
  <si>
    <t>https://www.scopus.com/pages/publications/105033707008?origin=resultslist</t>
  </si>
  <si>
    <t xml:space="preserve">Toxicity of the essential oils of Eugenia uniflora and Pogostemon cablin on field bees of Africanized Apis mellifera L., 1758 (Hymenoptera: Apidae)</t>
  </si>
  <si>
    <t xml:space="preserve">Journal of Asia-Pacific Entomology</t>
  </si>
  <si>
    <t>https://doi.org/10.1016/j.aspen.2025.102452</t>
  </si>
  <si>
    <t>https://www.scopus.com/pages/publications/105014108723?origin=resultslist</t>
  </si>
  <si>
    <t xml:space="preserve">Evaluating machine learning models for predicting pesticide toxicity to honey bees</t>
  </si>
  <si>
    <t>ApisTox</t>
  </si>
  <si>
    <t xml:space="preserve">Molecular fingerprints; Molecular graphs / GNN representation</t>
  </si>
  <si>
    <t xml:space="preserve">GNN; Neural network</t>
  </si>
  <si>
    <t>Cross-validation</t>
  </si>
  <si>
    <t>https://doi.org/10.1016/j.ecoenv.2026.119869</t>
  </si>
  <si>
    <t>https://www.scopus.com/pages/publications/105031117980?origin=resultslist</t>
  </si>
  <si>
    <t>2017</t>
  </si>
  <si>
    <t xml:space="preserve">Predicting acute contact toxicity of pesticides in honeybees (Apis mellifera) through a k-nearest neighbor model</t>
  </si>
  <si>
    <t xml:space="preserve">256 pesticides</t>
  </si>
  <si>
    <t>kNN</t>
  </si>
  <si>
    <t xml:space="preserve">The k-NN models were validated with good prediction, with an accuracy of 70% for all compounds and of 65% for highly toxic compounds, suggesting that they might reliably predict the toxicity of structurally diverse pesticides and could be used to screen and prioritise new pesticides.</t>
  </si>
  <si>
    <t>https://doi.org/10.1016/j.chemosphere.2016.09.092</t>
  </si>
  <si>
    <t>https://www.scopus.com/pages/publications/84989287587?origin=resultslist</t>
  </si>
  <si>
    <t xml:space="preserve">Leveraging In Silico Structure-Activity Models to Predict Acute Honey Bee (Apis mellifera) Toxicity for Agrochemicals</t>
  </si>
  <si>
    <t xml:space="preserve">1542 compounds</t>
  </si>
  <si>
    <t xml:space="preserve">Bee toxicity data from 1542 compounds were used to develop models; the sensitivity and specificity of the best model were 0.90 and 0.91, respectively.</t>
  </si>
  <si>
    <t xml:space="preserve">Journal of Agricultural and Food Chemistry</t>
  </si>
  <si>
    <t>https://doi.org/10.1021/acs.jafc.4c02518</t>
  </si>
  <si>
    <t>https://www.scopus.com/pages/publications/85203802131?origin=resultslist</t>
  </si>
  <si>
    <t xml:space="preserve">Predicting aquatic toxicity of organic compounds using the ML-DL-ens model: An integrated approach of machine learning and deep learning</t>
  </si>
  <si>
    <t xml:space="preserve">Random Forest; Gradient Boosting; SVM/SVR; Neural network; kNN</t>
  </si>
  <si>
    <t xml:space="preserve">Although classic machine learning methods have shown potential in toxicity prediction, their limitations - including reliance on manual feature engineering, poor generalization ability in different chemical spaces, and sensitivity to data noise - have reduced their reliability in practical applications.</t>
  </si>
  <si>
    <t>https://doi.org/10.1016/j.ecoenv.2026.119803</t>
  </si>
  <si>
    <t>https://www.scopus.com/pages/publications/105029270030?origin=resultslist</t>
  </si>
  <si>
    <t>2022</t>
  </si>
  <si>
    <t xml:space="preserve">Classifying the toxicity of pesticides to honey bees via support vector machines with random walk graph kernels</t>
  </si>
  <si>
    <t xml:space="preserve">382 molecules</t>
  </si>
  <si>
    <t xml:space="preserve">MACCS; Molecular fingerprints; Molecular graphs</t>
  </si>
  <si>
    <t>SVM/SVR</t>
  </si>
  <si>
    <t xml:space="preserve">The L-RWGK-SVM achieves an accuracy, precision, recall, and F1 score (mean over 2000 runs) of 0.81, 0.68, 0.71, and 0.69, respectively, on the test data set - with L = 4 being the mode optimal walk length.</t>
  </si>
  <si>
    <t xml:space="preserve">Journal of Chemical Physics</t>
  </si>
  <si>
    <t>https://doi.org/10.1063/5.0090573</t>
  </si>
  <si>
    <t>https://www.scopus.com/pages/publications/85135008849?origin=resultslist</t>
  </si>
  <si>
    <t xml:space="preserve">Multi-scale QSAR approach for simultaneous modeling of ecotoxic effects of pesticides</t>
  </si>
  <si>
    <t xml:space="preserve">Methods in Pharmacology and Toxicology</t>
  </si>
  <si>
    <t>https://doi.org/10.1007/978-1-0716-0150-1_26</t>
  </si>
  <si>
    <t>https://www.scopus.com/pages/publications/85078080395?origin=resultslist</t>
  </si>
  <si>
    <t xml:space="preserve">Multi-biomarker assessment of Apis mellifera as a sentinel of environmental stress: A two-year field study across diverse land-use gradients in Tuscany (Italy)</t>
  </si>
  <si>
    <t xml:space="preserve">Environmental Research</t>
  </si>
  <si>
    <t>https://doi.org/10.1016/j.envres.2026.125038</t>
  </si>
  <si>
    <t>https://www.scopus.com/pages/publications/105042261289?origin=resultslist</t>
  </si>
  <si>
    <t xml:space="preserve">Predicting Pesticide LC50 Toxicity Using Convolutional Neural Networks and Dragonfly-Support Vector Machine Methods with Quantitative Structure-Activity Relationship and 2D Molecular Fingerprints: A Case Study on Oncorhynchus Mykiss</t>
  </si>
  <si>
    <t xml:space="preserve">200 pesticides</t>
  </si>
  <si>
    <t xml:space="preserve">Morgan fingerprints; Molecular fingerprints; Molecular descriptors</t>
  </si>
  <si>
    <t xml:space="preserve">SVM/SVR; CNN; Neural network</t>
  </si>
  <si>
    <t xml:space="preserve">Model 3 presents the best performance by achieving high predictive global accuracy in terms of RMSE of 0.1755, R² of 0.9860, AARD of 2.9765% and MAE of 0.0590.</t>
  </si>
  <si>
    <t xml:space="preserve">Chemistry Africa</t>
  </si>
  <si>
    <t>https://doi.org/10.1007/s42250-025-01239-7</t>
  </si>
  <si>
    <t>https://www.scopus.com/pages/publications/86000347183?origin=resultslist</t>
  </si>
  <si>
    <t xml:space="preserve">Utilizing Machine Learning Algorithms for Accurate Prediction of Nanomat erials Cytotoxicity</t>
  </si>
  <si>
    <t xml:space="preserve">Random Forest; kNN</t>
  </si>
  <si>
    <t xml:space="preserve">If built correctly, these models can predict NMs' toxicity with the highest accuracy and reliability.</t>
  </si>
  <si>
    <t xml:space="preserve">Letters in Applied NanoBioScience</t>
  </si>
  <si>
    <t>https://doi.org/10.33263/LIANBS143.134</t>
  </si>
  <si>
    <t>https://www.scopus.com/pages/publications/105019986249?origin=resultslist</t>
  </si>
  <si>
    <t xml:space="preserve">Life Cycle Thinking in Early Drug Discovery: Reducing Environmental Impact and Animal Testing via Interpretable Machine Learning- and Chemometrics-Based Oral Acute Toxicity Screening</t>
  </si>
  <si>
    <t xml:space="preserve">Acute chemical toxicity</t>
  </si>
  <si>
    <t xml:space="preserve">1150 compounds</t>
  </si>
  <si>
    <t xml:space="preserve">Read-across; RASAR</t>
  </si>
  <si>
    <t xml:space="preserve">External validation; Scaffold-based evaluation</t>
  </si>
  <si>
    <t xml:space="preserve">ACS Sustainable Chemistry and Engineering</t>
  </si>
  <si>
    <t>https://doi.org/10.1021/acssuschemeng.6c03787</t>
  </si>
  <si>
    <t>https://www.scopus.com/pages/publications/105041915734?origin=resultslist</t>
  </si>
  <si>
    <t xml:space="preserve">Image Based Liver Toxicity Prediction</t>
  </si>
  <si>
    <t xml:space="preserve">CNN; Neural network</t>
  </si>
  <si>
    <t xml:space="preserve">and obtain a sensitivity of 0.79 and a specificity of 0.52.</t>
  </si>
  <si>
    <t xml:space="preserve">Journal of Chemical Information and Modeling</t>
  </si>
  <si>
    <t>https://doi.org/10.1021/acs.jcim.9b00713</t>
  </si>
  <si>
    <t>https://www.scopus.com/pages/publications/85079671841?origin=resultslist</t>
  </si>
  <si>
    <t xml:space="preserve">New generation of QSAR modeling for bee safety: predicting toxicity using graph neural networks and apistox data</t>
  </si>
  <si>
    <t xml:space="preserve">Molecular graphs; Molecular graphs / GNN representation; SMILES</t>
  </si>
  <si>
    <t xml:space="preserve">The model achieved an average AUC-ROC of 0.76 on the test set and 0.97 on the training set, with low standard deviations (± 0.03), indicating consistent performance across cross-validation folds.</t>
  </si>
  <si>
    <t>Ecotoxicology</t>
  </si>
  <si>
    <t>https://doi.org/10.1007/s10646-025-02970-0</t>
  </si>
  <si>
    <t>https://www.scopus.com/pages/publications/105016759455?origin=resultslist</t>
  </si>
  <si>
    <t xml:space="preserve">Toxicological assessment of agrochemicals in bees using machine learning tools</t>
  </si>
  <si>
    <t xml:space="preserve">The ML algorithms achieved a higher accuracy (up to 91%) in identifying agrochemical contamination.</t>
  </si>
  <si>
    <t>https://doi.org/10.1016/j.jhazmat.2021.127344</t>
  </si>
  <si>
    <t>https://www.scopus.com/pages/publications/85116067761?origin=resultslist</t>
  </si>
  <si>
    <t xml:space="preserve">In silico assessment of the impact of pesticides commonly used in fruit orchards on Apis mellifera (Linnaeus, 1758) (Hymenoptera: Apidae): implications for pollinator health</t>
  </si>
  <si>
    <t xml:space="preserve">Journal of Environmental Science and Health - Part B Pesticides, Food Contaminants, and Agricultural Wastes</t>
  </si>
  <si>
    <t>https://doi.org/10.1080/03601234.2025.2588075</t>
  </si>
  <si>
    <t>https://www.scopus.com/pages/publications/105021971558?origin=resultslist</t>
  </si>
  <si>
    <t xml:space="preserve">Combined toxic impacts of imidacloprid and epoxiconazole on Apis mellifera L. and the underlying mechanism</t>
  </si>
  <si>
    <t>https://doi.org/10.1016/j.pestbp.2026.107226</t>
  </si>
  <si>
    <t>https://www.scopus.com/pages/publications/105042923227?origin=resultslist</t>
  </si>
  <si>
    <t xml:space="preserve">A comprehensive machine learning-based models for predicting mixture toxicity of azole fungicides toward algae (Auxenochlorella pyrenoidosa)</t>
  </si>
  <si>
    <t xml:space="preserve">Quantum chemistry + classical ML / molecular modeling</t>
  </si>
  <si>
    <t xml:space="preserve">Random Forest; XGBoost; Gradient Boosting; SVM/SVR; Neural network; kNN</t>
  </si>
  <si>
    <t xml:space="preserve">The results indicated that models employing concentration addition (CA), independent action (IA), and molecular descriptors (MD) as variables demonstrated superior predictive abilities.</t>
  </si>
  <si>
    <t xml:space="preserve">Useful as adjacent molecular representation work, but quantum-chemical descriptors/calculations are not quantum machine learning.</t>
  </si>
  <si>
    <t>https://doi.org/10.1016/j.envint.2024.109162</t>
  </si>
  <si>
    <t>https://www.scopus.com/pages/publications/85210281491?origin=resultslist</t>
  </si>
  <si>
    <t xml:space="preserve">Deep learning using molecular image of chemical structure</t>
  </si>
  <si>
    <t xml:space="preserve">Molecular descriptors; Molecular images; 3D molecular information</t>
  </si>
  <si>
    <t xml:space="preserve">Cheminformatics, QSAR and Machine Learning Applications for Novel Drug Development</t>
  </si>
  <si>
    <t>https://doi.org/10.1016/B978-0-443-18638-7.00005-0</t>
  </si>
  <si>
    <t>https://www.scopus.com/pages/publications/85163448577?origin=resultslist</t>
  </si>
  <si>
    <t xml:space="preserve">Comparative toxicity of pesticides and environmental contaminants in bees: Are honey bees a useful proxy for wild bee species?</t>
  </si>
  <si>
    <t xml:space="preserve">Historically the honey bee (Apis mellifera spp.) has been used as an ‘indicator’ species for ‘standard’ ecotoxicological testing but it has been suggested that it is not always a good proxy for other types of eusocial and solitary bees because of species differences in autecology and sensitivity to various stressors.</t>
  </si>
  <si>
    <t>https://doi.org/10.1016/j.scitotenv.2016.10.180</t>
  </si>
  <si>
    <t>https://www.scopus.com/pages/publications/85003945078?origin=resultslist</t>
  </si>
  <si>
    <t xml:space="preserve">All Open Access; Bronze Open Access</t>
  </si>
  <si>
    <t xml:space="preserve">Architecture and potential roles of a delta-class glutathione S-transferase in protecting honey bee from agrochemicals</t>
  </si>
  <si>
    <t xml:space="preserve">3D molecular information</t>
  </si>
  <si>
    <t>https://doi.org/10.1016/j.chemosphere.2023.141089</t>
  </si>
  <si>
    <t>https://www.scopus.com/pages/publications/85181771235?origin=resultslist</t>
  </si>
  <si>
    <t xml:space="preserve">Ecotoxicological risk assessment of organic compounds against various aquatic and terrestrial species: application of interspecies i-QSTTR and species sensitivity distribution techniques†</t>
  </si>
  <si>
    <t xml:space="preserve">In silico techniques employed in hazard assessment have evolved for years starting from simple quantitative structure-activity/toxicity relationship (QSAR/QSTR) models to interspecies quantitative structure-toxicity-toxicity relationship (i-QSTTR) models and finally towards species sensitivity distributions (SSDs).</t>
  </si>
  <si>
    <t xml:space="preserve">Green Chemistry</t>
  </si>
  <si>
    <t>https://doi.org/10.1039/d1gc04320j</t>
  </si>
  <si>
    <t>https://www.scopus.com/pages/publications/85127200906?origin=resultslist</t>
  </si>
  <si>
    <t xml:space="preserve">Insights into the Molecular Basis of the Acute Contact Toxicity of Diverse Organic Chemicals in the Honey Bee</t>
  </si>
  <si>
    <t xml:space="preserve">External validation; Cross-validation</t>
  </si>
  <si>
    <t>https://doi.org/10.1021/acs.jcim.7b00476</t>
  </si>
  <si>
    <t>https://www.scopus.com/pages/publications/85039988952?origin=resultslist</t>
  </si>
  <si>
    <t xml:space="preserve">Machine learning based assessment of the toxicity of polymeric materials to green algae as an approach to design non-toxic polymeric coatings to deter marine biofouling</t>
  </si>
  <si>
    <t xml:space="preserve">The best models were selected based on their performance on training ( R 2 train , Q 2 , RMSE ) and validation sets ( R 2 test , y -scrambling).</t>
  </si>
  <si>
    <t xml:space="preserve">Results in Chemistry</t>
  </si>
  <si>
    <t>https://doi.org/10.1016/j.rechem.2025.103005</t>
  </si>
  <si>
    <t>https://www.scopus.com/pages/publications/105026149047?origin=resultslist</t>
  </si>
  <si>
    <t xml:space="preserve">Chemometric modeling of plant protection products (PPPs) for the prediction of acute contact toxicity against honey bees (A. mellifera): A 2D-QSAR approach</t>
  </si>
  <si>
    <t xml:space="preserve">709 compounds</t>
  </si>
  <si>
    <t xml:space="preserve">External validation; Applicability-domain analysis</t>
  </si>
  <si>
    <t xml:space="preserve">The obtained results (R2 = 0.666, Q2 = 0.594, Q2F1 = 0.647 and Q2F2 = 0.646) determine the predictability and reliability of the developed model.</t>
  </si>
  <si>
    <t>https://doi.org/10.1016/j.jhazmat.2021.127230</t>
  </si>
  <si>
    <t>https://www.scopus.com/pages/publications/85115387479?origin=resultslist</t>
  </si>
  <si>
    <t xml:space="preserve">Comparison of the Sensitivity of Tetragonisca angustula (Apidae-Meliponini) and Apis mellifera (Apidae-Apini) to Three Insecticides (Malathion, Imidacloprid, and Fipronil) Used in Costa Rica</t>
  </si>
  <si>
    <t xml:space="preserve">Our results suggest that specific sensitivity to insecticides varies greatly among compounds and pollinator species, but the use of different representative species can facilitate the prioritization of substances regarding their risk to pollinators.</t>
  </si>
  <si>
    <t xml:space="preserve">Environmental Toxicology and Chemistry</t>
  </si>
  <si>
    <t>https://doi.org/10.1002/etc.5587</t>
  </si>
  <si>
    <t>https://www.scopus.com/pages/publications/85150886960?origin=resultslist</t>
  </si>
  <si>
    <t xml:space="preserve">Integrating QSAR models predicting acute contact toxicity and mode of action profiling in honey bees (A. mellifera): Data curation using open source databases, performance testing and validation</t>
  </si>
  <si>
    <t xml:space="preserve">113 pesticides</t>
  </si>
  <si>
    <t xml:space="preserve">The two-category QSAR model (toxic/non-toxic; n = 411) was validated using sensitivity (=0.93), specificity (=0.85), balanced accuracy (=0.90), and Matthews correlation coefficient (MCC = 0.78) as statistical parameters.</t>
  </si>
  <si>
    <t>https://doi.org/10.1016/j.scitotenv.2020.139243</t>
  </si>
  <si>
    <t>https://www.scopus.com/pages/publications/85085321096?origin=resultslist</t>
  </si>
  <si>
    <t xml:space="preserve">Honey yield prediction and neonicotinoid risk assessment utilizing a machine learning framework in smart agriculture</t>
  </si>
  <si>
    <t xml:space="preserve">SVM/SVR; Ensemble</t>
  </si>
  <si>
    <t xml:space="preserve">Notably, our proposed voting classifier (AgriBuzzEnsemble), which synergistically fuses Support Vector Machine (SVM) and Gaussian Naive Bayes (GNB), surpassed all baseline models, showcasing robust accuracy of 98%, a Matthews Correlation Coefficient (MCC) of 0.9751, a specificity of 0.9917, and an ROC AUC of 0.9985.</t>
  </si>
  <si>
    <t>https://doi.org/10.1038/s41598-026-44811-y</t>
  </si>
  <si>
    <t>https://www.scopus.com/pages/publications/105040603650?origin=resultslist</t>
  </si>
  <si>
    <t xml:space="preserve">Applying Artificial Neural Networks to Oxidative Stress Biomarkers in Forager Honey Bees (Apis mellifera) for Ecological Assessment</t>
  </si>
  <si>
    <t>Toxics</t>
  </si>
  <si>
    <t>https://doi.org/10.3390/toxics11080661</t>
  </si>
  <si>
    <t>https://www.scopus.com/pages/publications/85169152009?origin=resultslist</t>
  </si>
  <si>
    <t xml:space="preserve">Ecotoxicological read-across models for predicting acute toxicity of freshly dispersed versus medium-aged NMs to Daphnia magna</t>
  </si>
  <si>
    <t>Read-across</t>
  </si>
  <si>
    <t>https://doi.org/10.1016/j.chemosphere.2021.131452</t>
  </si>
  <si>
    <t>https://www.scopus.com/pages/publications/85109535295?origin=resultslist</t>
  </si>
  <si>
    <t xml:space="preserve">In silico prediction of chemical acute contact toxicity on honey bees via machine learning methods</t>
  </si>
  <si>
    <t xml:space="preserve">Molecular fingerprints</t>
  </si>
  <si>
    <t xml:space="preserve">Toxicology in Vitro</t>
  </si>
  <si>
    <t>https://doi.org/10.1016/j.tiv.2021.105089</t>
  </si>
  <si>
    <t>https://www.scopus.com/pages/publications/85099576224?origin=resultslist</t>
  </si>
  <si>
    <t xml:space="preserve">Machine learning modeling of acute inhalation toxicity using an RFA-RFR framework, supported by explainable AI and SALI-based activity cliff analysis</t>
  </si>
  <si>
    <t xml:space="preserve">552 molecules</t>
  </si>
  <si>
    <t xml:space="preserve">Molecular descriptors; 3D molecular information</t>
  </si>
  <si>
    <t xml:space="preserve">Random Forest</t>
  </si>
  <si>
    <t xml:space="preserve">Importantly, benchmarking against previous QSAR models for inhalation toxicity shows improved predictive accuracy and broader chemical applicability.</t>
  </si>
  <si>
    <t xml:space="preserve">Journal of Pharmacological and Toxicological Methods</t>
  </si>
  <si>
    <t>https://doi.org/10.1016/j.vascn.2026.108426</t>
  </si>
  <si>
    <t>https://www.scopus.com/pages/publications/105039775493?origin=resultslist</t>
  </si>
  <si>
    <t xml:space="preserve">Mixture of experts for multitask learning in cardiotoxicity assessment</t>
  </si>
  <si>
    <t>Cardiotoxicity</t>
  </si>
  <si>
    <t xml:space="preserve">Holdout test</t>
  </si>
  <si>
    <t xml:space="preserve">The best developed model achieved a balanced accuracy of 78%, a sensitivity of 80%, and a specificity of 76% across all endpoints in the holdout set.</t>
  </si>
  <si>
    <t xml:space="preserve">Journal of Cheminformatics</t>
  </si>
  <si>
    <t>https://doi.org/10.1186/s13321-025-01072-7</t>
  </si>
  <si>
    <t>https://www.scopus.com/pages/publications/105014728209?origin=resultslist</t>
  </si>
  <si>
    <t xml:space="preserve">Development of machine learning-based multi-task quantitative structure–activity relationship models for predicting toxicities in six human organ systems</t>
  </si>
  <si>
    <t xml:space="preserve">389 chemicals</t>
  </si>
  <si>
    <t xml:space="preserve">Random Forest; SVM/SVR; Neural network</t>
  </si>
  <si>
    <t xml:space="preserve">Performance was evaluated using nested cross-validation and five metrics (recall, precision, balanced accuracy, F1 score, and ROC-AUC).</t>
  </si>
  <si>
    <t>https://doi.org/10.1016/j.comtox.2025.100399</t>
  </si>
  <si>
    <t>https://www.scopus.com/pages/publications/105027095275?origin=resultslist</t>
  </si>
  <si>
    <t xml:space="preserve">Toxicology, histophysiological and nutritional changes in Apis mellifera (Hymenoptera: Apidae) submitted to limonene and natural pesticides in comparison to synthetic pesticides</t>
  </si>
  <si>
    <t>https://doi.org/10.1080/00218839.2023.2166229</t>
  </si>
  <si>
    <t>https://www.scopus.com/pages/publications/85146802245?origin=resultslist</t>
  </si>
  <si>
    <t xml:space="preserve">BeeEcoTox: A Large Language Model-Empowered Graph-Learning Framework for Predicting Ecotoxicity of Agrochemicals to Bees</t>
  </si>
  <si>
    <t xml:space="preserve">Molecular graphs; Molecular graphs / GNN representation</t>
  </si>
  <si>
    <t xml:space="preserve">The rapid and accurate prediction of agrochemical ecotoxicity to bees is thus urgently needed; however, existing models are constrained by single-type structural inputs, resulting in limited accuracy and generalizability.</t>
  </si>
  <si>
    <t xml:space="preserve">Environmental Science and Technology</t>
  </si>
  <si>
    <t>https://doi.org/10.1021/acs.est.5c18162</t>
  </si>
  <si>
    <t>https://www.scopus.com/pages/publications/105036287364?origin=resultslist</t>
  </si>
  <si>
    <t xml:space="preserve">Development of a GCN-based model to predict in vitro phototoxicity from the chemical structure and HOMO-LUMO gap</t>
  </si>
  <si>
    <t xml:space="preserve">Molecular descriptors; HOMO–LUMO descriptors</t>
  </si>
  <si>
    <t xml:space="preserve">GCN; CNN; Neural network</t>
  </si>
  <si>
    <t xml:space="preserve">As a result, the assortment of chemical structures and the HOMO-LUMO gap produced an AI model with high discrimination performance, and an F1 score of 0.857.</t>
  </si>
  <si>
    <t xml:space="preserve">Journal of Toxicological Sciences</t>
  </si>
  <si>
    <t>https://doi.org/10.2131/jts.48.243</t>
  </si>
  <si>
    <t>https://www.scopus.com/pages/publications/85156255007?origin=resultslist</t>
  </si>
  <si>
    <t xml:space="preserve">Integrating machine learning and nano-QSAR models to predict the oxidative stress potential caused by single and mixed carbon nanomaterials in algal cells</t>
  </si>
  <si>
    <t xml:space="preserve">Random Forest; Gradient Boosting; SVM/SVR; Neural network; kNN; Logistic Regression</t>
  </si>
  <si>
    <t xml:space="preserve">The Accuracy, Recall, Precision and harmonic mean of Precision and Recall (F1-score) values of these models were all higher than 0.600, indicating an excellent performance in distinguishing whether CNMs have the potential to generate ROS.</t>
  </si>
  <si>
    <t>https://doi.org/10.1093/etojnl/vgae049</t>
  </si>
  <si>
    <t>https://www.scopus.com/pages/publications/105014548398?origin=resultslist</t>
  </si>
  <si>
    <t xml:space="preserve">An autonomous YOLOv9-edge-to-cloud intelligence system for proactive honeybee mortality mitigation</t>
  </si>
  <si>
    <t xml:space="preserve">Despite challenges of dense carcass accumulation and occlusion, the system achieved a mean average precision (mAP@0.5) of 0.937.</t>
  </si>
  <si>
    <t xml:space="preserve">Journal of Invertebrate Pathology</t>
  </si>
  <si>
    <t>https://doi.org/10.1016/j.jip.2026.108691</t>
  </si>
  <si>
    <t>https://www.scopus.com/pages/publications/105045268435?origin=resultslist</t>
  </si>
  <si>
    <t xml:space="preserve">Malathion impairs sensory perception, learning, and memory, and increases oxidative stress in the western honeybee, Apis mellifera</t>
  </si>
  <si>
    <t xml:space="preserve">Environmental Pollution</t>
  </si>
  <si>
    <t>https://doi.org/10.1016/j.envpol.2025.127484</t>
  </si>
  <si>
    <t>https://www.scopus.com/pages/publications/105024314123?origin=resultslist</t>
  </si>
  <si>
    <t xml:space="preserve">Synergistic Effects of Amitraz and Dinotefuran on Honey Bee Health: Impacts on Survival, Gene Expression, and Hypopharyngeal Gland Morphology</t>
  </si>
  <si>
    <t xml:space="preserve">International Journal of Molecular Sciences</t>
  </si>
  <si>
    <t>https://doi.org/10.3390/ijms26146850</t>
  </si>
  <si>
    <t>https://www.scopus.com/pages/publications/105011728170?origin=resultslist</t>
  </si>
  <si>
    <t xml:space="preserve">Classification models for identifying substances exhibiting acute contact toxicity in honeybees (Apis mellifera)$</t>
  </si>
  <si>
    <t xml:space="preserve">254 pesticides</t>
  </si>
  <si>
    <t>https://doi.org/10.1080/1062936X.2018.1513953</t>
  </si>
  <si>
    <t>https://www.scopus.com/pages/publications/85053464038?origin=resultslist</t>
  </si>
  <si>
    <t xml:space="preserve">A QSAR study for predicting malformation in zebrafish embryo</t>
  </si>
  <si>
    <t xml:space="preserve">Gradient Boosting; Neural network; Logistic Regression</t>
  </si>
  <si>
    <t xml:space="preserve">The models were then validated with test set and various statistical parameters, such as Matthew’s correlation coefficient (MCC) and balanced accuracy (BAC) score, were used to compare the models.</t>
  </si>
  <si>
    <t>https://doi.org/10.1080/15376516.2024.2338907</t>
  </si>
  <si>
    <t>https://www.scopus.com/pages/publications/85190993353?origin=resultslist</t>
  </si>
  <si>
    <t xml:space="preserve">In Silico Platforms for Predictive Ecotoxicology: From Machine Learning to Deep Learning</t>
  </si>
  <si>
    <t xml:space="preserve">Such in silico methods have been proven to reduce the duration and cost of environmental toxicity tests, offering high-precision prediction for humans and various ecological species.</t>
  </si>
  <si>
    <t xml:space="preserve">Chemometrics and Cheminformatics in Aquatic Toxicology</t>
  </si>
  <si>
    <t>https://doi.org/10.1002/9781119681397.ch23</t>
  </si>
  <si>
    <t>https://www.scopus.com/pages/publications/85129153257?origin=resultslist</t>
  </si>
  <si>
    <t xml:space="preserve">BeeToxAI: An artificial intelligence-based web app to assess acute toxicity of chemicals to honey bees</t>
  </si>
  <si>
    <t xml:space="preserve">Initially, we developed and externally validated QSAR models for classification (external set accuracy ∼91%) through the combination of Random Forest and molecular fingerprints to predict the potential for chemicals to cause acute contact toxicity and acute oral toxicity to honey bees.</t>
  </si>
  <si>
    <t xml:space="preserve">Artificial Intelligence in the Life Sciences</t>
  </si>
  <si>
    <t>https://doi.org/10.1016/j.ailsci.2021.100013</t>
  </si>
  <si>
    <t>https://www.scopus.com/pages/publications/85132646441?origin=resultslist</t>
  </si>
  <si>
    <t>2015</t>
  </si>
  <si>
    <t xml:space="preserve">Use of artifcial neural networks in the qsar prediction of physicochemical properties and toxicities for reach legislation</t>
  </si>
  <si>
    <t xml:space="preserve">SVM/SVR; Neural network; Linear Regression</t>
  </si>
  <si>
    <t xml:space="preserve">ANNs generally outperform the main QSAR approach of multiple linear regression (MLR), although other approaches such as support vector machines sometimes outperform ANNs.</t>
  </si>
  <si>
    <t xml:space="preserve">Methods in Molecular Biology</t>
  </si>
  <si>
    <t>https://doi.org/10.1007/978-1-4939-2239-0_5</t>
  </si>
  <si>
    <t>https://www.scopus.com/pages/publications/84917690958?origin=resultslist</t>
  </si>
  <si>
    <t xml:space="preserve">AI-powered modeling of bee spermatozoa quality post agrochemical exposure</t>
  </si>
  <si>
    <t xml:space="preserve">XGBoost; Gradient Boosting</t>
  </si>
  <si>
    <t xml:space="preserve">K-means clustering identified three distinct spermatozoa quality profiles (low, mid, high), which were validated against reproductive benchmarks and predicted with 96% accuracy using the Extreme Gradient Boosting (XGBoost) algorithm.</t>
  </si>
  <si>
    <t>Apidologie</t>
  </si>
  <si>
    <t>https://doi.org/10.1007/s13592-025-01238-0</t>
  </si>
  <si>
    <t>https://www.scopus.com/pages/publications/105027439001?origin=resultslist</t>
  </si>
  <si>
    <t xml:space="preserve">Machine learning and deep learning methods in ecotoxicological QSAR modeling</t>
  </si>
  <si>
    <t xml:space="preserve">20,000 molecules</t>
  </si>
  <si>
    <t>SMILES</t>
  </si>
  <si>
    <t xml:space="preserve">Therefore, prediction is the only available solution, but it poses many challenges in terms of accuracy and interpretability.</t>
  </si>
  <si>
    <t>https://doi.org/10.1007/978-1-0716-0150-1_6</t>
  </si>
  <si>
    <t>https://www.scopus.com/pages/publications/85078107817?origin=resultslist</t>
  </si>
  <si>
    <t xml:space="preserve">Risk assessment of honey bee stressors based on in silico analysis of molecular interactions</t>
  </si>
  <si>
    <t xml:space="preserve">EFSA Journal</t>
  </si>
  <si>
    <t>https://doi.org/10.2903/j.efsa.2022.e200912</t>
  </si>
  <si>
    <t>https://www.scopus.com/pages/publications/85144118989?origin=resultslist</t>
  </si>
  <si>
    <t xml:space="preserve">Differential effects of a novel mesoionic insecticide, triflumezopyrim, on Apis mellifera and Apis cerana</t>
  </si>
  <si>
    <t xml:space="preserve">Scaffold-based evaluation</t>
  </si>
  <si>
    <t xml:space="preserve">mellifera (17.495 mg/L), indicating approximately 5-fold higher sensitivity to TRF.</t>
  </si>
  <si>
    <t>https://doi.org/10.1016/j.jhazmat.2026.142448</t>
  </si>
  <si>
    <t>https://www.scopus.com/pages/publications/105039901881?origin=resultslist</t>
  </si>
  <si>
    <t xml:space="preserve">Artificial Intelligence-Aided Meta-Analysis of Toxicological Assessment of Agrochemicals in Bees</t>
  </si>
  <si>
    <t xml:space="preserve">Frontiers in Ecology and Evolution</t>
  </si>
  <si>
    <t>https://doi.org/10.3389/fevo.2022.845608</t>
  </si>
  <si>
    <t>https://www.scopus.com/pages/publications/85131692334?origin=resultslist</t>
  </si>
  <si>
    <t>2014</t>
  </si>
  <si>
    <t xml:space="preserve">QSTR modeling for qualitative and quantitative toxicity predictions of diverse chemical pesticides in honey bee for regulatory purposes</t>
  </si>
  <si>
    <t xml:space="preserve">In complete data, the PNN-QSTR model rendered a classification accuracy of 96.62% (two-category) and 95.57% (four-category), while the GRNN-QSTR model yielded a correlation (R2) of 0.841 between the measured and predicted toxicity values with a mean squared error (MSE) of 0.22.</t>
  </si>
  <si>
    <t xml:space="preserve">Chemical Research in Toxicology</t>
  </si>
  <si>
    <t>https://doi.org/10.1021/tx500100m</t>
  </si>
  <si>
    <t>https://www.scopus.com/pages/publications/84918493465?origin=resultslist</t>
  </si>
  <si>
    <t xml:space="preserve">QSAR Classification Modeling Using Machine Learning with a Consensus-Based Approach for Multivariate Chemical Hazard End Points</t>
  </si>
  <si>
    <t xml:space="preserve">Morgan fingerprints; MACCS; Molecular fingerprints; Molecular descriptors</t>
  </si>
  <si>
    <t xml:space="preserve">The consensus model was developed by selecting the best-performing classifier─Random Forest (RF), eXtreme Gradient Boosting (XGBoost), or Support Vector Machines (SVM)─for each descriptor, optimizing predictive accuracy and robustness across the end points.</t>
  </si>
  <si>
    <t>https://doi.org/10.1021/acsomega.4c09356</t>
  </si>
  <si>
    <t>https://www.scopus.com/pages/publications/85211587432?origin=resultslist</t>
  </si>
  <si>
    <t xml:space="preserve">Advancing ecotoxicity assessment: Leveraging pre-trained model for bee toxicity and compound degradability prediction</t>
  </si>
  <si>
    <t xml:space="preserve">Molecular graphs / GNN representation</t>
  </si>
  <si>
    <t xml:space="preserve">SVM/SVR; GNN; Neural network</t>
  </si>
  <si>
    <t xml:space="preserve">Additionally, despite the low similarity between the endogenous hormones in bees and the compounds in our dataset, our model confidently predicts that these hormones are non-toxic to bees, which further strengthens the credibility and accuracy of our model.</t>
  </si>
  <si>
    <t>https://doi.org/10.1016/j.jhazmat.2024.134828</t>
  </si>
  <si>
    <t>https://www.scopus.com/pages/publications/85195651895?origin=resultslist</t>
  </si>
  <si>
    <t xml:space="preserve">Comparative toxicity of oral exposure to paraquat: Survival rates and gene expression in two honey bees species; Apis mellifera and Apis cerana</t>
  </si>
  <si>
    <t xml:space="preserve">cerana exhibits greater sensitivity to paraquat compared to A.</t>
  </si>
  <si>
    <t>https://doi.org/10.1016/j.envpol.2024.125026</t>
  </si>
  <si>
    <t>https://www.scopus.com/pages/publications/85205308828?origin=resultslist</t>
  </si>
  <si>
    <t xml:space="preserve">Got to write a classic: classical and perturbation-based qsar methods, machine learning, and the monitoring of nanoparticle ecotoxicity</t>
  </si>
  <si>
    <t xml:space="preserve">Random Forest; SVM/SVR; Neural network; Linear Regression; Bayesian model</t>
  </si>
  <si>
    <t>https://doi.org/10.1007/978-1-0716-0150-1_9</t>
  </si>
  <si>
    <t>https://www.scopus.com/pages/publications/85078216534?origin=resultslist</t>
  </si>
  <si>
    <t xml:space="preserve">Toxicity assessment for safe-by-design nanomaterials using advanced data analytics</t>
  </si>
  <si>
    <t xml:space="preserve">Proceedings of the 29th European Safety and Reliability Conference, ESREL 2019</t>
  </si>
  <si>
    <t>https://doi.org/10.3850/978-981-11-2724-30895-cd</t>
  </si>
  <si>
    <t>https://www.scopus.com/pages/publications/85089177035?origin=resultslist</t>
  </si>
  <si>
    <t xml:space="preserve">Artificial intelligence-driven tool for spectral analysis: identifying pesticide contamination in bees from reflectance profiling</t>
  </si>
  <si>
    <t xml:space="preserve">The best-performing model, the linear discriminant analysis, achieved 98 % accuracy in discriminating contamination across species Apis mellifera, Melipona mondury, and Partamona helleri, with prediction speeds of 0.27 s.</t>
  </si>
  <si>
    <t>https://doi.org/10.1016/j.jhazmat.2024.136425</t>
  </si>
  <si>
    <t>https://www.scopus.com/pages/publications/85208767895?origin=resultslist</t>
  </si>
  <si>
    <t xml:space="preserve">A harmonized ecotoxicity dataset for honeybee based on the ECOTOX database</t>
  </si>
  <si>
    <t xml:space="preserve">540 chemicals</t>
  </si>
  <si>
    <t xml:space="preserve">Subsequently, weighted linear regressions were applied to extrapolate various endpoints to a harmonized ED10-equivalent (ED10eq), with R2 ranging from 0.38–0.99.</t>
  </si>
  <si>
    <t>https://doi.org/10.1093/etojnl/vgag054</t>
  </si>
  <si>
    <t>https://www.scopus.com/pages/publications/105042186818?origin=resultslist</t>
  </si>
  <si>
    <t xml:space="preserve">Interpretable machine learning framework for predicting pesticide phytotoxicity in wastewater reuse: Integrating molecular, quantum, and experimental descriptors</t>
  </si>
  <si>
    <t>XGBoost</t>
  </si>
  <si>
    <t xml:space="preserve">This integration of intrinsic chemical properties and contextual environmental factors not only enhanced predictive accuracy but also provided crucial model interpretability, moving beyond traditional black-box approaches.</t>
  </si>
  <si>
    <t>https://doi.org/10.1016/j.envres.2025.123389</t>
  </si>
  <si>
    <t>https://www.scopus.com/pages/publications/105022644568?origin=resultslist</t>
  </si>
  <si>
    <t xml:space="preserve">Use of machine learning and classical QSAR methods in computational ecotoxicology</t>
  </si>
  <si>
    <t>https://doi.org/10.1007/978-1-0716-0150-1_7</t>
  </si>
  <si>
    <t>https://www.scopus.com/pages/publications/85078166227?origin=resultslist</t>
  </si>
  <si>
    <t xml:space="preserve">Deep Learning-Driven Discovery of Bee-Safe Isoxazoline Pesticide Candidates</t>
  </si>
  <si>
    <t xml:space="preserve">BeeSafe 2.0 demonstrates superior predictive performance, specifically overcoming previous limitations for isoxazolines, and provides an accessible online server (www.beesafe.top) for chemical bee toxicity assessment.</t>
  </si>
  <si>
    <t>https://doi.org/10.1021/acs.jafc.5c12299</t>
  </si>
  <si>
    <t>https://www.scopus.com/pages/publications/105024447022?origin=resultslist</t>
  </si>
  <si>
    <t xml:space="preserve">Exploring the potential of in silico machine learning tools for the prediction of acute Daphnia magna nanotoxicity</t>
  </si>
  <si>
    <t>Biodegradability</t>
  </si>
  <si>
    <t xml:space="preserve">Random Forest; Neural network; kNN</t>
  </si>
  <si>
    <t xml:space="preserve">Results indicated highly comparable model performance between all algorithms and predictive performance exceeding ∼0.7 for all evaluated metrics (e.g.</t>
  </si>
  <si>
    <t>https://doi.org/10.1016/j.chemosphere.2022.135930</t>
  </si>
  <si>
    <t>https://www.scopus.com/pages/publications/85135935279?origin=resultslist</t>
  </si>
  <si>
    <t xml:space="preserve">Graph attention convolutional neural network model for chemical poisoning of honey bees’ prediction</t>
  </si>
  <si>
    <t xml:space="preserve">720 pesticides</t>
  </si>
  <si>
    <t xml:space="preserve">GAT; CNN; Neural network</t>
  </si>
  <si>
    <t xml:space="preserve">The first case represents the accuracy in identifying bee poisonous chemicals.</t>
  </si>
  <si>
    <t xml:space="preserve">Science Bulletin</t>
  </si>
  <si>
    <t>https://doi.org/10.1016/j.scib.2020.04.006</t>
  </si>
  <si>
    <t>https://www.scopus.com/pages/publications/85083577047?origin=resultslist</t>
  </si>
  <si>
    <t xml:space="preserve">Toxicity and poisoning symptoms of selected insecticides to honey bees (Apis mellifera mellifera L.)</t>
  </si>
  <si>
    <t xml:space="preserve">Archives of Biological Sciences</t>
  </si>
  <si>
    <t>https://doi.org/10.2298/ABS170131020P</t>
  </si>
  <si>
    <t>https://www.scopus.com/pages/publications/85043708912?origin=resultslist</t>
  </si>
  <si>
    <t xml:space="preserve">Ionic liquid toxicity prediction and mechanism research based on machine learning and interpretability analysis</t>
  </si>
  <si>
    <t xml:space="preserve">Molecular descriptors; SMILES</t>
  </si>
  <si>
    <t xml:space="preserve">Random Forest; CNN; Neural network</t>
  </si>
  <si>
    <t xml:space="preserve">fischeri model performing exceptionally well (R2 = 0.9819, MSE = 0.02593).</t>
  </si>
  <si>
    <t xml:space="preserve">Chemical Engineering Science</t>
  </si>
  <si>
    <t>https://doi.org/10.1016/j.ces.2025.122669</t>
  </si>
  <si>
    <t>https://www.scopus.com/pages/publications/105017225401?origin=resultslist</t>
  </si>
  <si>
    <t xml:space="preserve">Explainable artificial intelligence (XAI) to find optimal in-silico biomarkers for cardiac drug toxicity evaluation</t>
  </si>
  <si>
    <t xml:space="preserve">Random Forest; XGBoost; SVM/SVR; Neural network; kNN</t>
  </si>
  <si>
    <t xml:space="preserve">We found that the ANN model coupled with the eleven most influential in-silico biomarkers namely dVmdtrepol,dVmdtmax,APD90,APD50,APDtri,CaD90,CaD50,Catri,CaDiastole,qInward,andqNet showed the highest classification performance among all classifiers with Area Under the Curve (AUC) scores of 0.92 for predicting high-risk, 0.83 for intermediate-risk,</t>
  </si>
  <si>
    <t>https://doi.org/10.1038/s41598-024-71169-w</t>
  </si>
  <si>
    <t>https://www.scopus.com/pages/publications/85206279787?origin=resultslist</t>
  </si>
  <si>
    <t xml:space="preserve">Guidance for good practice in the application of machine learning in development of toxicological quantitative structure-activity relationships (QSARs)</t>
  </si>
  <si>
    <t xml:space="preserve">PLoS ONE</t>
  </si>
  <si>
    <t>https://doi.org/10.1371/journal.pone.0282924</t>
  </si>
  <si>
    <t>https://www.scopus.com/pages/publications/85158860239?origin=resultslist</t>
  </si>
  <si>
    <t xml:space="preserve">Apis mellifera and Melipona scutellaris exhibit differential sensitivity to thiamethoxam</t>
  </si>
  <si>
    <t xml:space="preserve">Thus, the present study quantified the differential sensitivity of the bees M.</t>
  </si>
  <si>
    <t>https://doi.org/10.1016/j.envpol.2020.115770</t>
  </si>
  <si>
    <t>https://www.scopus.com/pages/publications/85092365396?origin=resultslist</t>
  </si>
  <si>
    <t xml:space="preserve">All Open Access; Green Open Access</t>
  </si>
  <si>
    <t xml:space="preserve">Towards Rational Pesticide Design with Graph Machine Learning Models for Ecotoxicology</t>
  </si>
  <si>
    <t xml:space="preserve">Molecular fingerprints; Molecular graphs</t>
  </si>
  <si>
    <t>Transformer</t>
  </si>
  <si>
    <t xml:space="preserve">CIKM 2025 - Proceedings of the 34th ACM International Conference on Information and Knowledge Management</t>
  </si>
  <si>
    <t>https://doi.org/10.1145/3746252.3761660</t>
  </si>
  <si>
    <t>https://www.scopus.com/pages/publications/105023188025?origin=resultslist</t>
  </si>
  <si>
    <t>2004</t>
  </si>
  <si>
    <t xml:space="preserve">Three new consensus QSAR models for the prediction of Ames genotoxicity</t>
  </si>
  <si>
    <t xml:space="preserve">Molecular toxicity ML</t>
  </si>
  <si>
    <t xml:space="preserve">400 compounds</t>
  </si>
  <si>
    <t xml:space="preserve">Neural network; kNN</t>
  </si>
  <si>
    <t xml:space="preserve">Substantially higher specificity was achieved with these new models as compared with MULTICASE or DEREK with comparable sensitivities among all models.</t>
  </si>
  <si>
    <t>Mutagenesis</t>
  </si>
  <si>
    <t>https://doi.org/10.1093/mutage/geh043</t>
  </si>
  <si>
    <t>https://www.scopus.com/pages/publications/6444224986?origin=resultslist</t>
  </si>
  <si>
    <t xml:space="preserve">ADMETboost: a web server for accurate ADMET prediction</t>
  </si>
  <si>
    <t xml:space="preserve">ADME-Tox / ADMET properties</t>
  </si>
  <si>
    <t xml:space="preserve">XGBoost; Gradient Boosting; Ensemble</t>
  </si>
  <si>
    <t xml:space="preserve">Journal of Molecular Modeling</t>
  </si>
  <si>
    <t>https://doi.org/10.1007/s00894-022-05373-8</t>
  </si>
  <si>
    <t>https://www.scopus.com/pages/publications/85143122941?origin=resultslist</t>
  </si>
  <si>
    <t xml:space="preserve">Exploration of chemical space with partial labeled noisy student self-training and self-supervised graph embedding</t>
  </si>
  <si>
    <t xml:space="preserve">BMC Bioinformatics</t>
  </si>
  <si>
    <t>https://doi.org/10.1186/s12859-022-04681-3</t>
  </si>
  <si>
    <t>https://www.scopus.com/pages/publications/85129403439?origin=resultslist</t>
  </si>
  <si>
    <t xml:space="preserve">ADFC-ATP: Attention-Guided Dual-View Fusion and Contrastive Pretraining for Robust Aquatic Toxicity Prediction</t>
  </si>
  <si>
    <t xml:space="preserve">Molecular fingerprints; Molecular graphs; Molecular graphs / GNN representation</t>
  </si>
  <si>
    <t xml:space="preserve">GNN; GCN; GAT; Neural network</t>
  </si>
  <si>
    <t xml:space="preserve">Experimental results show that on four fish toxicity datasets, the AUC of ADFC-ATP achieves an average relative improvement of approximately 10.2% compared to two classic graph neural network baseline models: single-task graph convolutional network (GCN-ST) and multi-task graph convolutional network (GCN-MT).</t>
  </si>
  <si>
    <t xml:space="preserve">Journal of Cellular and Molecular Medicine</t>
  </si>
  <si>
    <t>https://doi.org/10.1111/jcmm.71067</t>
  </si>
  <si>
    <t>https://www.scopus.com/pages/publications/105031092429?origin=resultslist</t>
  </si>
  <si>
    <t xml:space="preserve">Redox biotransformation and delivery of anthracycline anticancer antibiotics: How interpretable structure-activity relationships of lethality using electrophilicity and the london formula for dispersion interaction work</t>
  </si>
  <si>
    <t xml:space="preserve">Background: Quantum chemical methods and molecular mechanics approaches face a lot of challenges in drug metabolism study because of either insufficient accuracy, huge computational cost, or lack of clear molecular level pictures for building computational models.</t>
  </si>
  <si>
    <t xml:space="preserve">Current Cancer Drug Targets</t>
  </si>
  <si>
    <t>https://doi.org/10.2174/1568009617666170330145709</t>
  </si>
  <si>
    <t>https://www.scopus.com/pages/publications/85048948626?origin=resultslist</t>
  </si>
  <si>
    <t xml:space="preserve">Artificial Intelligence-Based Toxicity Prediction of Environmental Chemicals: Future Directions for Chemical Management Applications</t>
  </si>
  <si>
    <t>https://doi.org/10.1021/acs.est.1c07413</t>
  </si>
  <si>
    <t>https://www.scopus.com/pages/publications/85133365849?origin=resultslist</t>
  </si>
  <si>
    <t>2005</t>
  </si>
  <si>
    <t xml:space="preserve">Statistically validated QSARs, based on theoretical descriptors, for modeling aquatic toxicity of organic chemicals in Pimephales promelas (fathead minnow)</t>
  </si>
  <si>
    <t xml:space="preserve">Neural network; Linear Regression</t>
  </si>
  <si>
    <t xml:space="preserve">Cross-validation; Applicability-domain analysis; Bootstrap</t>
  </si>
  <si>
    <t>https://doi.org/10.1021/ci0502121</t>
  </si>
  <si>
    <t>https://www.scopus.com/pages/publications/26944468691?origin=resultslist</t>
  </si>
  <si>
    <t xml:space="preserve">Computational Investigation of Drug Phototoxicity: Photosafety Assessment, Photo-Toxophore Identification, and Machine Learning</t>
  </si>
  <si>
    <t xml:space="preserve">450 compounds</t>
  </si>
  <si>
    <t xml:space="preserve">Random Forest; Neural network; Bayesian model</t>
  </si>
  <si>
    <t xml:space="preserve">Model accuracies of 83-85% could typically be reached for diverse test data sets and other company in-house data, while model sensitivity (the capability of correctly detecting toxicants) was even better, reaching 86%-90%.</t>
  </si>
  <si>
    <t>https://doi.org/10.1021/acs.chemrestox.9b00338</t>
  </si>
  <si>
    <t>https://www.scopus.com/pages/publications/85074606246?origin=resultslist</t>
  </si>
  <si>
    <t xml:space="preserve">Prediction of Ligand Binding to Transthyretin Using Machine Learning Algorithms and Low-Dimensional Molecular Descriptors: A Tox24 Challenge Study</t>
  </si>
  <si>
    <t xml:space="preserve">Molecular fingerprints; Molecular descriptors; 3D molecular information; PCA / reduced features</t>
  </si>
  <si>
    <t xml:space="preserve">XGBoost; CatBoost; Gradient Boosting</t>
  </si>
  <si>
    <t xml:space="preserve">The proposed consensus model achieved an RMSE of 21.60 on the blind test set, ranking 15th among 79 participating teams.</t>
  </si>
  <si>
    <t>https://doi.org/10.1021/acs.chemrestox.6c00052</t>
  </si>
  <si>
    <t>https://www.scopus.com/pages/publications/105041856023?origin=resultslist</t>
  </si>
  <si>
    <t xml:space="preserve">Explainable machine learning for predicting PFAS toxicity using molecular descriptors</t>
  </si>
  <si>
    <t xml:space="preserve">XGBoost; Gradient Boosting; SVM/SVR; Neural network</t>
  </si>
  <si>
    <t xml:space="preserve">Four ML algorithms, extreme gradient boosting machine (XGBoost), support vector machine (SVM), deep neural networks (DNN), and decision tree (DT), were evaluated, yielding AUROC values of 0.810, 0.817, 0.792, and 0.743, respectively, and average precision values of 0.610, 0.660, 0.584, and 0.443.</t>
  </si>
  <si>
    <t xml:space="preserve">Environmental Engineering Research</t>
  </si>
  <si>
    <t>https://doi.org/10.4491/eer.2025.595</t>
  </si>
  <si>
    <t>https://www.scopus.com/pages/publications/105029775951?origin=resultslist</t>
  </si>
  <si>
    <t xml:space="preserve">PHYSPROPNET: A Benchmarking Study of Machine Learning Models for Physicochemical Property Prediction in Data-Limited Environmental Research</t>
  </si>
  <si>
    <t xml:space="preserve">Molecular property prediction</t>
  </si>
  <si>
    <t xml:space="preserve">10,652 compounds</t>
  </si>
  <si>
    <t xml:space="preserve">Molecular fingerprints; Molecular descriptors; Molecular graphs / GNN representation</t>
  </si>
  <si>
    <t xml:space="preserve">Random Forest; LightGBM; CatBoost; GNN; Neural network</t>
  </si>
  <si>
    <t xml:space="preserve">Model accuracy depended primarily on data set size and molecular representation.</t>
  </si>
  <si>
    <t xml:space="preserve">ACS ES and T Water</t>
  </si>
  <si>
    <t>https://doi.org/10.1021/acsestwater.5c00850</t>
  </si>
  <si>
    <t>https://www.scopus.com/pages/publications/105024705909?origin=resultslist</t>
  </si>
  <si>
    <t xml:space="preserve">Consensus QSAR modeling of toxicity of pharmaceuticals to different aquatic organisms: Ranking and prioritization of the DrugBank database compounds</t>
  </si>
  <si>
    <t>DrugBank</t>
  </si>
  <si>
    <t xml:space="preserve">External validation; Cross-validation; Applicability-domain analysis</t>
  </si>
  <si>
    <t>https://doi.org/10.1016/j.ecoenv.2018.10.060</t>
  </si>
  <si>
    <t>https://www.scopus.com/pages/publications/85055747171?origin=resultslist</t>
  </si>
  <si>
    <t xml:space="preserve">Safe-by-redesign guidance for toxic industrial chemicals using explainable artificial intelligence: Introducing the DETOX-QSAR model</t>
  </si>
  <si>
    <t xml:space="preserve">Random Forest; XGBoost; CatBoost; Gradient Boosting; SVM/SVR</t>
  </si>
  <si>
    <t>https://doi.org/10.1038/s41598-026-48176-0</t>
  </si>
  <si>
    <t>https://www.scopus.com/pages/publications/105041459466?origin=resultslist</t>
  </si>
  <si>
    <t>2011</t>
  </si>
  <si>
    <t xml:space="preserve">Predicting drug-induced hepatotoxicity using QSAR and toxicogenomics approaches</t>
  </si>
  <si>
    <t xml:space="preserve">Molecular descriptors; Toxicogenomics</t>
  </si>
  <si>
    <t xml:space="preserve">Random Forest; SVM/SVR</t>
  </si>
  <si>
    <t xml:space="preserve">Although the accuracy of hybrid models did not exceed that of the models based on toxicogenomics data alone, the use of both chemical and biological descriptors enriched the interpretation of the models.</t>
  </si>
  <si>
    <t>https://doi.org/10.1021/tx200148a</t>
  </si>
  <si>
    <t>https://www.scopus.com/pages/publications/80051727852?origin=resultslist</t>
  </si>
  <si>
    <t xml:space="preserve">MolFPG: Multi-level fingerprint-based Graph Transformer for accurate and robust drug toxicity prediction</t>
  </si>
  <si>
    <t xml:space="preserve">Experimental results show that our proposed approach has high accuracy and reliability in predicting drug toxicity.</t>
  </si>
  <si>
    <t xml:space="preserve">Computers in Biology and Medicine</t>
  </si>
  <si>
    <t>https://doi.org/10.1016/j.compbiomed.2023.106904</t>
  </si>
  <si>
    <t>https://www.scopus.com/pages/publications/85164302630?origin=resultslist</t>
  </si>
  <si>
    <t xml:space="preserve">Multigenerational Toxicity Prediction Using Graph Neural Networks and Biotransformation Analysis</t>
  </si>
  <si>
    <t xml:space="preserve">Molecular descriptors; Molecular graphs / GNN representation</t>
  </si>
  <si>
    <t xml:space="preserve">XGBoost; GNN; Neural network</t>
  </si>
  <si>
    <t xml:space="preserve">An XGBoost model using PaDEL descriptors achieved high accuracy (R2 = 0.969), while a newly developed Graph Sequence Attention Network (GSAT) yielded comparable results (R2 = 0.907, mean absolute error (MAE) ≈ 0.30) with a 98.9% reduction in computation time, enabling high-throughput screening and substructure-level interpretation.</t>
  </si>
  <si>
    <t>https://doi.org/10.1021/acsestwater.5c00828</t>
  </si>
  <si>
    <t>https://www.scopus.com/pages/publications/105030100970?origin=resultslist</t>
  </si>
  <si>
    <t xml:space="preserve">QSAR modeling based on graph neural networks</t>
  </si>
  <si>
    <t xml:space="preserve">GNN; GAT; Neural network</t>
  </si>
  <si>
    <t xml:space="preserve">QSAR in Safety Evaluation and Risk Assessment</t>
  </si>
  <si>
    <t>https://doi.org/10.1016/B978-0-443-15339-6.00012-6</t>
  </si>
  <si>
    <t>https://www.scopus.com/pages/publications/85176834143?origin=resultslist</t>
  </si>
  <si>
    <t xml:space="preserve">Impact of halogenation on scaffold toxicity assessed using HD-GEM machine learning model</t>
  </si>
  <si>
    <t xml:space="preserve">GNN; Neural network; Ensemble</t>
  </si>
  <si>
    <t xml:space="preserve">HD-GEM demonstrates superior predictive power compared to conventional machine learning (ML) models and popular toxicity web applications like ProTox, ADMETlab, and admetSAR, achieving high accuracy and Receiver Operating Characteristic - Area Under Curve scores across diverse datasets.</t>
  </si>
  <si>
    <t xml:space="preserve">Briefings in Bioinformatics</t>
  </si>
  <si>
    <t>https://doi.org/10.1093/bib/bbaf347</t>
  </si>
  <si>
    <t>https://www.scopus.com/pages/publications/105011167322?origin=resultslist</t>
  </si>
  <si>
    <t xml:space="preserve">AI-enhanced chemical paradigm: From molecular graphs to accurate prediction and mechanism</t>
  </si>
  <si>
    <t xml:space="preserve">Other / broad predictive task</t>
  </si>
  <si>
    <t xml:space="preserve">Molecular fingerprints; Molecular descriptors; Molecular graphs; Molecular graphs / GNN representation</t>
  </si>
  <si>
    <t xml:space="preserve">GNN; CNN; Neural network; Bayesian model</t>
  </si>
  <si>
    <t>https://doi.org/10.1016/j.jhazmat.2023.133355</t>
  </si>
  <si>
    <t>https://www.scopus.com/pages/publications/85181933342?origin=resultslist</t>
  </si>
  <si>
    <t xml:space="preserve">QSAR assessment of aquatic toxicity potential of diverse agrochemicals</t>
  </si>
  <si>
    <t>https://doi.org/10.1080/1062936X.2023.2278074</t>
  </si>
  <si>
    <t>https://www.scopus.com/pages/publications/85176323377?origin=resultslist</t>
  </si>
  <si>
    <t xml:space="preserve">AMPred-MFG: Investigating the Mutagenicity of Compounds Using Motif-Based Graph Combined with Molecular Fingerprints and Graph Attention Mechanism</t>
  </si>
  <si>
    <t xml:space="preserve">GAT; Transformer</t>
  </si>
  <si>
    <t xml:space="preserve">By comparing with several state-of-the-art algorithms, AMPred-MFG achieves the best results in terms of performance, with AUC value of 0.912, ACC of 0.835, SEN of 0.849, NPV of 0.811, PPV of 0.854, MCC of 0.665.</t>
  </si>
  <si>
    <t xml:space="preserve">Interdisciplinary Sciences - Computational Life Sciences</t>
  </si>
  <si>
    <t>https://doi.org/10.1007/s12539-025-00742-2</t>
  </si>
  <si>
    <t>https://www.scopus.com/pages/publications/105010752253?origin=resultslist</t>
  </si>
  <si>
    <t xml:space="preserve">The Tsetlin Machine: A “Third Way” in QSAR Modeling</t>
  </si>
  <si>
    <t xml:space="preserve">ECFP; Molecular fingerprints; Molecular descriptors; Molecular graphs; SMILES</t>
  </si>
  <si>
    <t xml:space="preserve">XGBoost; Neural network; Tsetlin Machine</t>
  </si>
  <si>
    <t xml:space="preserve">Here we present the Tsetlin Machine (TM)─which combines the accuracy and easy-use of existing rule-based QSAR ML methods (e.g., RF and XGBoost), the iterative learning aspect of NN algorithms and its intrinsic interpretability.</t>
  </si>
  <si>
    <t>https://doi.org/10.1021/acs.jcim.5c03109</t>
  </si>
  <si>
    <t>https://www.scopus.com/pages/publications/105040986445?origin=resultslist</t>
  </si>
  <si>
    <t xml:space="preserve">Linking electron ionization mass spectra of organic chemicals to toxicity endpoints through machine learning and experimentation</t>
  </si>
  <si>
    <t xml:space="preserve">Molecular graphs; Mass spectra</t>
  </si>
  <si>
    <t xml:space="preserve">SVM/SVR; CNN; Neural network; Bayesian model</t>
  </si>
  <si>
    <t xml:space="preserve">The optimal model performance obtained an R2 &gt; 0.7 or balanced accuracy &gt; 0.72 for both the training set and test set.</t>
  </si>
  <si>
    <t>https://doi.org/10.1016/j.jhazmat.2022.128558</t>
  </si>
  <si>
    <t>https://www.scopus.com/pages/publications/85125263867?origin=resultslist</t>
  </si>
  <si>
    <t xml:space="preserve">Graph neural network-based prediction and interpretation of Daphnia toxicity using distinct scale molecular representations</t>
  </si>
  <si>
    <t xml:space="preserve">GNN; CNN; Neural network</t>
  </si>
  <si>
    <t xml:space="preserve">Consequently, the framework using SMARTS-based fragment graph representations consistently achieved a coefficient of determination (R²) above 0.825 regardless of the deep learning architectures, establishing it as the most appropriate representation method.</t>
  </si>
  <si>
    <t xml:space="preserve">Water Research</t>
  </si>
  <si>
    <t>https://doi.org/10.1016/j.watres.2026.125676</t>
  </si>
  <si>
    <t>https://www.scopus.com/pages/publications/105032084109?origin=resultslist</t>
  </si>
  <si>
    <t xml:space="preserve">Identification of Optimal Machine Learning Algorithms and Molecular Fingerprints for Explainable Toxicity Prediction Models Using ToxCast/Tox21 Bioassay Data</t>
  </si>
  <si>
    <t xml:space="preserve">Morgan fingerprints; MACCS; Molecular fingerprints</t>
  </si>
  <si>
    <t xml:space="preserve">Random Forest; Logistic Regression</t>
  </si>
  <si>
    <t xml:space="preserve">Results showed that 35 models revealed acceptable performance (F1 score or accuracy is 0.8 or higher).</t>
  </si>
  <si>
    <t>https://doi.org/10.1021/acsomega.4c04474</t>
  </si>
  <si>
    <t>https://www.scopus.com/pages/publications/85202159053?origin=resultslist</t>
  </si>
  <si>
    <t xml:space="preserve">Classification of biodegradable substances using balanced random trees and boosted c5.0 decision trees</t>
  </si>
  <si>
    <t xml:space="preserve">SVM/SVR; kNN</t>
  </si>
  <si>
    <t>Bootstrap</t>
  </si>
  <si>
    <t xml:space="preserve">Based on the statistical measures, the experimental results showed that the proposed models outperform the classification results of the support vector machine (SVM), K-nearest neighbors (KNN), and discrimination analysis (DA).</t>
  </si>
  <si>
    <t xml:space="preserve">International Journal of Environmental Research and Public Health</t>
  </si>
  <si>
    <t>https://doi.org/10.3390/ijerph17249322</t>
  </si>
  <si>
    <t>https://www.scopus.com/pages/publications/85097652367?origin=resultslist</t>
  </si>
  <si>
    <t xml:space="preserve">Identification of structural fingerprints for in vivo toxicity by using Monte Carlo based QSTR modeling of nitroaromatics</t>
  </si>
  <si>
    <t xml:space="preserve">Molecular fingerprints; Molecular descriptors; SMILES</t>
  </si>
  <si>
    <t xml:space="preserve">The best classification model was obtained by using SMILES and graph-based (GAO) descriptor with 1ECK connectivity (sensitivity = 0.7143, specificity = 1.0000, accuracy = 0.8889, and MCC = 0.7774).</t>
  </si>
  <si>
    <t>https://doi.org/10.1080/15376516.2019.1709238</t>
  </si>
  <si>
    <t>https://www.scopus.com/pages/publications/85077854817?origin=resultslist</t>
  </si>
  <si>
    <t xml:space="preserve">SepPCNET: Deeping Learning on a 3D Surface Electrostatic Potential Point Cloud for Enhanced Toxicity Classification and Its Application to Suspected Environmental Estrogens</t>
  </si>
  <si>
    <t xml:space="preserve">1317 chemicals</t>
  </si>
  <si>
    <t xml:space="preserve">Molecular graphs; 3D molecular information</t>
  </si>
  <si>
    <t xml:space="preserve">External test</t>
  </si>
  <si>
    <t xml:space="preserve">The obtained model recognized the active and inactive chemicals at accuracies of 82.8 and 88.9%, respectively, with a total accuracy of 88.3% on the internal test set and 92.5% on the external test set, which outperformed other up-to-date machine learning models and succeeded in recognizing the difference in the activity of isomers.</t>
  </si>
  <si>
    <t>https://doi.org/10.1021/acs.est.1c01228</t>
  </si>
  <si>
    <t>https://www.scopus.com/pages/publications/85112126953?origin=resultslist</t>
  </si>
  <si>
    <t xml:space="preserve">Merging applicability domains for in silico assessment of chemical mutagenicity</t>
  </si>
  <si>
    <t>https://doi.org/10.1021/ci500016v</t>
  </si>
  <si>
    <t>https://www.scopus.com/pages/publications/84897002889?origin=resultslist</t>
  </si>
  <si>
    <t xml:space="preserve">Deep learning for toxicity prediction</t>
  </si>
  <si>
    <t xml:space="preserve">Molecular graphs; Molecular graphs / GNN representation; SMILES; 3D molecular information</t>
  </si>
  <si>
    <t xml:space="preserve">GNN; Transformer; Neural network; Ensemble</t>
  </si>
  <si>
    <t xml:space="preserve">These developments underscore the importance of DL in enhancing toxicity prediction, with insights for addressing existing challenges and advancing predictive accuracy.</t>
  </si>
  <si>
    <t xml:space="preserve">Deep Learning in Drug Design: Methods and Applications</t>
  </si>
  <si>
    <t>https://doi.org/10.1016/B978-0-44-332908-1.00028-3</t>
  </si>
  <si>
    <t>https://www.scopus.com/pages/publications/105025830736?origin=resultslist</t>
  </si>
  <si>
    <t xml:space="preserve">Comparative Study of Random Forest, Gradient Boosted Trees, Feedforward Neural Networks and Convolutional Neural Networks Using Fingerprints and Molecular Descriptors for Adverse Drug Reaction Prediction</t>
  </si>
  <si>
    <t xml:space="preserve">Random Forest; Gradient Boosting; CNN; Neural network</t>
  </si>
  <si>
    <t xml:space="preserve">According to the experimental evaluation results RF and GBT had better results, with significant differences of even 20% in accuracy in certain cases, such as using molecular descriptors for Hepatobiliary disorders, than FNN and CNN.</t>
  </si>
  <si>
    <t xml:space="preserve">Procedia Computer Science</t>
  </si>
  <si>
    <t>https://doi.org/10.1016/j.procs.2024.09.702</t>
  </si>
  <si>
    <t>https://www.scopus.com/pages/publications/85213325416?origin=resultslist</t>
  </si>
  <si>
    <t xml:space="preserve">Shedding light on “Black Box” machine learning models for predicting the reactivity of HO[rad] radicals toward organic compounds</t>
  </si>
  <si>
    <t xml:space="preserve">Molecular fingerprints; Molecular descriptors; Molecular graphs</t>
  </si>
  <si>
    <t xml:space="preserve">XGBoost; Gradient Boosting; Neural network; Ensemble</t>
  </si>
  <si>
    <t xml:space="preserve">We then developed an ensemble model combining the DNN with XGBoost, which achieved satisfactory predictive performance for all three datasets: Training dataset: R-square (R2) 0.89–0.91, root-mean-squared-error (RMSE) 0.21–0.23, and mean absolute error (MAE) 0.15–0.17; Validation dataset: R2 0.63–0.78, RMSE 0.29–0.32, and MAE 0.21–0.25; and Test dat</t>
  </si>
  <si>
    <t xml:space="preserve">Chemical Engineering Journal</t>
  </si>
  <si>
    <t>https://doi.org/10.1016/j.cej.2020.126627</t>
  </si>
  <si>
    <t>https://www.scopus.com/pages/publications/85089414417?origin=resultslist</t>
  </si>
  <si>
    <t xml:space="preserve">Characterizing chemical toxicity for life cycle assessment using machine learning and deep learning models based on environmental footprint-methodological comparison &amp; textile case study</t>
  </si>
  <si>
    <t xml:space="preserve">Molecular descriptors; Molecular graphs; Molecular graphs / GNN representation; SMILES</t>
  </si>
  <si>
    <t xml:space="preserve">Random Forest; XGBoost; GNN; Neural network</t>
  </si>
  <si>
    <t xml:space="preserve">Predictive performance is strongly target-dependent, with ecotoxicity CFs showing consistently higher predictability (R2 = 0.47–0.67) than human toxicity CFs (R2 = 0.44–0.56).</t>
  </si>
  <si>
    <t xml:space="preserve">RSC Sustainability</t>
  </si>
  <si>
    <t>https://doi.org/10.1039/d6su00023a</t>
  </si>
  <si>
    <t>https://www.scopus.com/pages/publications/105044060625?origin=resultslist</t>
  </si>
  <si>
    <t xml:space="preserve">Using Molecular Fingerprints as Descriptors in Toxicity Prediction: A Survey</t>
  </si>
  <si>
    <t xml:space="preserve">Proceedings - 2019 IEEE International Conference on Bioinformatics and Biomedicine, BIBM 2019</t>
  </si>
  <si>
    <t>https://doi.org/10.1109/BIBM47256.2019.8982990</t>
  </si>
  <si>
    <t>https://www.scopus.com/pages/publications/85084336399?origin=resultslist</t>
  </si>
  <si>
    <t xml:space="preserve">A Comparative Study of the Performance for Predicting Biodegradability Classification: The Quantitative Structure–Activity Relationship Model vs the Graph Convolutional Network</t>
  </si>
  <si>
    <t xml:space="preserve">MACCS; Molecular fingerprints; Molecular descriptors; Molecular graphs</t>
  </si>
  <si>
    <t>GCN</t>
  </si>
  <si>
    <t xml:space="preserve">The performance comparison of the methods confirms that the GCN model is more straightforward to implement and more stable; the specificity and sensitivity values are almost identical without specific descriptors or fingerprints.</t>
  </si>
  <si>
    <t>https://doi.org/10.1021/acsomega.1c06274</t>
  </si>
  <si>
    <t>https://www.scopus.com/pages/publications/85123916912?origin=resultslist</t>
  </si>
  <si>
    <t xml:space="preserve">Graph Neural Network-Based Toxicity Prediction by Integrating Molecular Fingerprints and Knowledge Graph Features</t>
  </si>
  <si>
    <t xml:space="preserve">Traditional toxicity prediction models primarily rely on molecular fingerprints and other structural features, while neglecting the complex biological mechanisms underlying compound toxicity, resulting in limited predictive accuracy, poor interpretability, and reduced generalizability.</t>
  </si>
  <si>
    <t>https://doi.org/10.3390/toxics13110953</t>
  </si>
  <si>
    <t>https://www.scopus.com/pages/publications/105023155749?origin=resultslist</t>
  </si>
  <si>
    <t xml:space="preserve">SbD4Skin by EosCloud: Integrating multi-view molecular representation for predicting skin sensitization, irritation, and acute dermal toxicity</t>
  </si>
  <si>
    <t xml:space="preserve">Comparative analyses indicate that this multi-view FCNN model offers superior or comparable predictive performance relative to single-representation models, achieving area under the curve (AUC) values of up to 0.91 for irritation/corrosion, 0.88 for sensitization, and 0.82 for acute dermal toxicity on test sets.</t>
  </si>
  <si>
    <t xml:space="preserve">Computational and Structural Biotechnology Journal</t>
  </si>
  <si>
    <t>https://doi.org/10.1016/j.csbj.2025.08.001</t>
  </si>
  <si>
    <t>https://www.scopus.com/pages/publications/105012823893?origin=resultslist</t>
  </si>
  <si>
    <t xml:space="preserve">Ecotoxicity prediction of chemical compounds using machine learning and different molecular structure representations</t>
  </si>
  <si>
    <t xml:space="preserve">ECFP; MACCS; Molecular fingerprints; Molecular descriptors</t>
  </si>
  <si>
    <t xml:space="preserve">The best model achieved an average RMSE of 0.740, an R² of 0.708, and an MAE of 0.546 through ten-fold cross-validation.</t>
  </si>
  <si>
    <t xml:space="preserve">Green Analytical Chemistry</t>
  </si>
  <si>
    <t>https://doi.org/10.1016/j.greeac.2025.100273</t>
  </si>
  <si>
    <t>https://www.scopus.com/pages/publications/105004306666?origin=resultslist</t>
  </si>
  <si>
    <t xml:space="preserve">Neurotoxicity Prediction of Compounds: Integrating Knowledge-Guided Graph Representations with Machine Learning Approaches</t>
  </si>
  <si>
    <t xml:space="preserve">The KPGT-MLP model achieved the best balanced performance, with an accuracy (ACC) of 0.8928 and an ROC-AUC of 0.9459, clearly outperforming traditional fingerprint-based models, MolFormer-based models, and general prediction tools such as DI-NeuroT and ADMETlab 3.0.</t>
  </si>
  <si>
    <t>https://doi.org/10.3390/ijms27083543</t>
  </si>
  <si>
    <t>https://www.scopus.com/pages/publications/105037018549?origin=resultslist</t>
  </si>
  <si>
    <t xml:space="preserve">Implementation of the Grey Wolf Algorithm in Optimization of Artificial Neural Network Method for Fingerprint-Based Toxicity Prediction</t>
  </si>
  <si>
    <t xml:space="preserve">According to the result, we obtained the best model from ANN with 2 hidden layers, tanh activation function, and adam optimizer, getting F1-score results and accuracy on test data with values of 0.590 and 0.887 respectively.</t>
  </si>
  <si>
    <t xml:space="preserve">Proceedings - 2023 6th International Conference on Computer and Informatics Engineering: AI Trust, Risk and Security Management (AI Trism), IC2IE 2023</t>
  </si>
  <si>
    <t>https://doi.org/10.1109/IC2IE60547.2023.10331599</t>
  </si>
  <si>
    <t>https://www.scopus.com/pages/publications/85180748562?origin=resultslist</t>
  </si>
  <si>
    <t xml:space="preserve">ToxicBlend: Virtual screening of toxic compounds with ensemble predictors</t>
  </si>
  <si>
    <t xml:space="preserve">Molecular fingerprints; Molecular descriptors; Molecular graphs; SMILES</t>
  </si>
  <si>
    <t xml:space="preserve">Gradient Boosting; CNN; Neural network; Ensemble</t>
  </si>
  <si>
    <t>https://doi.org/10.1016/j.comtox.2019.01.001</t>
  </si>
  <si>
    <t>https://www.scopus.com/pages/publications/85060348439?origin=resultslist</t>
  </si>
  <si>
    <t xml:space="preserve">Descriptor-Based Explainable QSAR Modeling Approaches for the Prediction of Respiratory Toxicity of Volatile and Gas-Phase Chemicals</t>
  </si>
  <si>
    <t xml:space="preserve">Random Forest; XGBoost; Logistic Regression; Bayesian model</t>
  </si>
  <si>
    <t xml:space="preserve">Employing molecular descriptor selection, correlation analyses, and outlier detection, random forest and XGBoost emerged as the most accurate models, each achieving a high accuracy of 0.915, with ROC areas of 0.992 and 0.986, respectively.</t>
  </si>
  <si>
    <t xml:space="preserve">Journal of Applied Toxicology</t>
  </si>
  <si>
    <t>https://doi.org/10.1002/jat.4859</t>
  </si>
  <si>
    <t>https://www.scopus.com/pages/publications/105010748366?origin=resultslist</t>
  </si>
  <si>
    <t xml:space="preserve">Identifying biological pathway interrupting toxins using multi-tree ensembles</t>
  </si>
  <si>
    <t xml:space="preserve">Random Forest; Ensemble</t>
  </si>
  <si>
    <t xml:space="preserve">The results clearly demonstrate that the generic approach presented in this paper is comparable to advanced deep learning and domain-specific solutions.</t>
  </si>
  <si>
    <t>https://doi.org/10.3389/fenvs.2016.00052</t>
  </si>
  <si>
    <t>https://www.scopus.com/pages/publications/85017178111?origin=resultslist</t>
  </si>
  <si>
    <t xml:space="preserve">Machine learning prediction model for emerging pollutants-induced activities of 12 nuclear receptors; [新污染物诱导 12 种细胞核受体相关活性的机器学习预测模型]</t>
  </si>
  <si>
    <t xml:space="preserve">Model performance was evaluated by calculating the accuracy of the test set, and data availability was characterized in terms of the application domain.</t>
  </si>
  <si>
    <t xml:space="preserve">Chinese Journal of Chromatography (Se Pu)</t>
  </si>
  <si>
    <t>https://doi.org/10.3724/SP.J.1123.2024.12008</t>
  </si>
  <si>
    <t>https://www.scopus.com/pages/publications/105014292493?origin=resultslist</t>
  </si>
  <si>
    <t xml:space="preserve">Metabolomics driven, data augmented machine learning for predicting toxicity of microplastic mixtures</t>
  </si>
  <si>
    <t xml:space="preserve">Molecular descriptors; Mass spectra</t>
  </si>
  <si>
    <t xml:space="preserve">Random Forest; Gradient Boosting; SVM/SVR</t>
  </si>
  <si>
    <t>https://doi.org/10.1016/j.ecoenv.2026.119944</t>
  </si>
  <si>
    <t>https://www.scopus.com/pages/publications/105032246292?origin=resultslist</t>
  </si>
  <si>
    <t xml:space="preserve">Predicting the ecotoxicity of endocrine disruptive chemicals: Multitasking in silico approaches towards global models</t>
  </si>
  <si>
    <t>https://doi.org/10.1016/j.scitotenv.2023.164337</t>
  </si>
  <si>
    <t>https://www.scopus.com/pages/publications/85160448388?origin=resultslist</t>
  </si>
  <si>
    <t xml:space="preserve">Predicting the toxicity of organic chemicals to Tetrahymena pyriformis based on machine learning and interpretable models</t>
  </si>
  <si>
    <t xml:space="preserve">1792 compounds</t>
  </si>
  <si>
    <t xml:space="preserve">Random Forest; XGBoost; SVM/SVR; kNN; Ensemble</t>
  </si>
  <si>
    <t xml:space="preserve">The XGBoost model outperformed others, achieving a coefficient of determination (R²) of 0.918 (training set) and 0.866 (test set), indicating strong robustness and predictive capability.</t>
  </si>
  <si>
    <t xml:space="preserve">Process Safety and Environmental Protection</t>
  </si>
  <si>
    <t>https://doi.org/10.1016/j.psep.2025.108314</t>
  </si>
  <si>
    <t>https://www.scopus.com/pages/publications/105024900042?origin=resultslist</t>
  </si>
  <si>
    <t xml:space="preserve">Machine Learning-Based Toxicity Prediction Using Molecular Fingerprints</t>
  </si>
  <si>
    <t xml:space="preserve">XGBoost; Gradient Boosting; SVM/SVR</t>
  </si>
  <si>
    <t xml:space="preserve">Model performance is assessed using ROC-AUC, Precision-Recall AUC, balanced accuracy, and Matthews correlation coefficient.</t>
  </si>
  <si>
    <t xml:space="preserve">Proceedings of the 6th International Conference on Trends in Material Science and Inventive Materials, ICTMIM 2026</t>
  </si>
  <si>
    <t>https://doi.org/10.1109/ICTMIM68190.2026.11506858</t>
  </si>
  <si>
    <t>https://www.scopus.com/pages/publications/105041461939?origin=resultslist</t>
  </si>
  <si>
    <t xml:space="preserve">Improvement in ADMET Prediction with Multitask Deep Featurization</t>
  </si>
  <si>
    <t xml:space="preserve">By applying graph convolutions to this explicit molecular representation, we achieve, to our knowledge, unprecedented accuracy in prediction of ADMET properties.</t>
  </si>
  <si>
    <t xml:space="preserve">Journal of Medicinal Chemistry</t>
  </si>
  <si>
    <t>https://doi.org/10.1021/acs.jmedchem.9b02187</t>
  </si>
  <si>
    <t>https://www.scopus.com/pages/publications/85090078751?origin=resultslist</t>
  </si>
  <si>
    <t xml:space="preserve">Screening toxic transformation products of emerging pollutants in advanced oxidation processes with 3D deep learning and in vitro assays</t>
  </si>
  <si>
    <t xml:space="preserve">Molecular descriptors; Molecular graphs; Molecular graphs / GNN representation; 3D molecular information</t>
  </si>
  <si>
    <t xml:space="preserve">GNN; GAT; Transformer; Neural network</t>
  </si>
  <si>
    <t>https://doi.org/10.1016/j.watres.2026.125499</t>
  </si>
  <si>
    <t>https://www.scopus.com/pages/publications/105029771732?origin=resultslist</t>
  </si>
  <si>
    <t xml:space="preserve">CLSSATP: Contrastive learning and self-supervised learning model for aquatic toxicity prediction</t>
  </si>
  <si>
    <t xml:space="preserve">In this regard, deep learning methods offer significant advantages over traditional experimental approaches in terms of cost, accuracy, and generalization ability.</t>
  </si>
  <si>
    <t xml:space="preserve">Aquatic Toxicology</t>
  </si>
  <si>
    <t>https://doi.org/10.1016/j.aquatox.2025.107244</t>
  </si>
  <si>
    <t>https://www.scopus.com/pages/publications/85214475384?origin=resultslist</t>
  </si>
  <si>
    <t xml:space="preserve">FP-ADMET: a compendium of fingerprint-based ADMET prediction models</t>
  </si>
  <si>
    <t xml:space="preserve">Molecular fingerprints; Molecular descriptors; 3D molecular information</t>
  </si>
  <si>
    <t xml:space="preserve">We find that for a majority of the properties, fingerprint-based random forest models yield comparable or better performance compared with traditional 2D/3D molecular descriptors.</t>
  </si>
  <si>
    <t>https://doi.org/10.1186/s13321-021-00557-5</t>
  </si>
  <si>
    <t>https://www.scopus.com/pages/publications/85115864342?origin=resultslist</t>
  </si>
  <si>
    <t xml:space="preserve">PE-GCL: Advancing pesticide ecotoxicity prediction with graph contrastive learning</t>
  </si>
  <si>
    <t xml:space="preserve">Performance evaluation showed that the PE-GCL outperformed traditional supervised models across most prediction tasks, whereas independent external validation confirmed its superior predictive accuracy for unseen data.</t>
  </si>
  <si>
    <t>https://doi.org/10.1016/j.jhazmat.2025.137261</t>
  </si>
  <si>
    <t>https://www.scopus.com/pages/publications/85215253354?origin=resultslist</t>
  </si>
  <si>
    <t xml:space="preserve">An interpretable and resource-efficient machine learning framework for classifying PBT chemicals</t>
  </si>
  <si>
    <t xml:space="preserve">CatBoost achieved the best performance with generalization F1-score of 0.9153 and was selected for subsequent reliability and interpretability analyses.</t>
  </si>
  <si>
    <t xml:space="preserve">Journal of Hazardous Materials Advances</t>
  </si>
  <si>
    <t>https://doi.org/10.1016/j.hazadv.2026.101162</t>
  </si>
  <si>
    <t>https://www.scopus.com/pages/publications/105036251257?origin=resultslist</t>
  </si>
  <si>
    <t xml:space="preserve">A toxicity prediction tool for potential agonist/antagonist activities in molecular initiating events based on chemical structures</t>
  </si>
  <si>
    <t>https://doi.org/10.3390/ijms21217853</t>
  </si>
  <si>
    <t>https://www.scopus.com/pages/publications/85094158469?origin=resultslist</t>
  </si>
  <si>
    <t xml:space="preserve">Revolutionizing toxicity predictions of diverse chemicals to protect human health: Comparative QSAR and q-RASAR modeling</t>
  </si>
  <si>
    <t>Neurotoxicity</t>
  </si>
  <si>
    <t xml:space="preserve">We developed the first-ever predictive toxicity models combining QSAR and similarity-based read-across techniques to enhance accuracy, utilizing the TOXRIC database.</t>
  </si>
  <si>
    <t xml:space="preserve">Toxicology Letters</t>
  </si>
  <si>
    <t>https://doi.org/10.1016/j.toxlet.2025.06.019</t>
  </si>
  <si>
    <t>https://www.scopus.com/pages/publications/105009755568?origin=resultslist</t>
  </si>
  <si>
    <t xml:space="preserve">Part II. Systematic development of machine learning models for predicting human and ecotoxicity from in vivo OECD test guideline data</t>
  </si>
  <si>
    <t xml:space="preserve">Random Forest; XGBoost; Gradient Boosting; Logistic Regression</t>
  </si>
  <si>
    <t xml:space="preserve">Model performance was evaluated using standard metrics, including F1 score, precision, recall, accuracy, AUC-ROC.</t>
  </si>
  <si>
    <t>https://doi.org/10.1016/j.comtox.2025.100369</t>
  </si>
  <si>
    <t>https://www.scopus.com/pages/publications/105011772006?origin=resultslist</t>
  </si>
  <si>
    <t xml:space="preserve">QSAR modeling of chronic rat toxicity of diverse organic chemicals</t>
  </si>
  <si>
    <t xml:space="preserve">We validated the developed partial least squares (PLS) model statistically, and the results demonstrate the model's reliability, robustness, and predictive ability (R2 = 0.60, Q2 (LOO) = 0.58, Q2 F1 = 0.56, and Q2 F2 = 0.56).</t>
  </si>
  <si>
    <t>https://doi.org/10.1016/j.comtox.2023.100270</t>
  </si>
  <si>
    <t>https://www.scopus.com/pages/publications/85151732750?origin=resultslist</t>
  </si>
  <si>
    <t xml:space="preserve">Hybrid intelligence for environmental pollution: biodegradability assessment of organic compounds through multimodal integration of graph attention networks and QSAR models</t>
  </si>
  <si>
    <t xml:space="preserve">Random Forest; Gradient Boosting; GAT; Ensemble</t>
  </si>
  <si>
    <t xml:space="preserve">The GAT models demonstrated a stable function and generally higher specificity on the validation set compared to a graph convolutional network, although definitive superiority is challenging to establish owing to overlapping standard deviations.</t>
  </si>
  <si>
    <t xml:space="preserve">Environmental Science: Processes and Impacts</t>
  </si>
  <si>
    <t>https://doi.org/10.1039/d4em00594e</t>
  </si>
  <si>
    <t>https://www.scopus.com/pages/publications/105000155850?origin=resultslist</t>
  </si>
  <si>
    <t xml:space="preserve">Multi-Endpoint Acute Toxicity Assessment of Organic Compounds Using Large-Scale Machine Learning Modeling</t>
  </si>
  <si>
    <t xml:space="preserve">80,000 compounds</t>
  </si>
  <si>
    <t>https://doi.org/10.1021/acs.est.4c01017</t>
  </si>
  <si>
    <t>https://www.scopus.com/pages/publications/85194318094?origin=resultslist</t>
  </si>
  <si>
    <t xml:space="preserve">Accurate clinical toxicity prediction using multi-task deep neural nets and contrastive molecular explanations</t>
  </si>
  <si>
    <t>MoleculeNet</t>
  </si>
  <si>
    <t xml:space="preserve">Morgan fingerprints; Molecular fingerprints; SMILES</t>
  </si>
  <si>
    <t xml:space="preserve">A multi-task deep learning model accurately predicts toxicity for all endpoints, including clinical, as indicated by the area under the Receiver Operator Characteristic curve and balanced accuracy.</t>
  </si>
  <si>
    <t>https://doi.org/10.1038/s41598-023-31169-8</t>
  </si>
  <si>
    <t>https://www.scopus.com/pages/publications/85150957576?origin=resultslist</t>
  </si>
  <si>
    <t xml:space="preserve">Identifying Protein Features and Pathways Responsible for Toxicity Using Machine Learning and Tox21: Implications for Predictive Toxicology</t>
  </si>
  <si>
    <t xml:space="preserve">10,000 compounds</t>
  </si>
  <si>
    <t>Molecules</t>
  </si>
  <si>
    <t>https://doi.org/10.3390/molecules27093021</t>
  </si>
  <si>
    <t>https://www.scopus.com/pages/publications/85130022073?origin=resultslist</t>
  </si>
  <si>
    <t xml:space="preserve">Mining Structural Information from Gas Chromatography-Electron-Impact Ionization-Mass Spectrometry Data for Analytical-Descriptor-Based Quantitative Structure–Activity Relationship</t>
  </si>
  <si>
    <t xml:space="preserve">ECFP; MACCS; Molecular fingerprints; Molecular descriptors; Mass spectra</t>
  </si>
  <si>
    <t xml:space="preserve">However, their performance was comparable.</t>
  </si>
  <si>
    <t xml:space="preserve">Journal of Xenobiotics</t>
  </si>
  <si>
    <t>https://doi.org/10.3390/jox15060177</t>
  </si>
  <si>
    <t>https://www.scopus.com/pages/publications/105025968358?origin=resultslist</t>
  </si>
  <si>
    <t xml:space="preserve">Deep Learning Based Regression and Multiclass Models for Acute Oral Toxicity Prediction with Automatic Chemical Feature Extraction</t>
  </si>
  <si>
    <t xml:space="preserve">For the two external data sets containing 1673 (test set I) and 375 (test set II) compounds, the R2 and mean absolute errors (MAEs) of deepAOT-R on the test set I were 0.864 and 0.195, and the prediction accuracies of deepAOT-C were 95.5% and 96.3% on test sets I and II, respectively.</t>
  </si>
  <si>
    <t>https://doi.org/10.1021/acs.jcim.7b00244</t>
  </si>
  <si>
    <t>https://www.scopus.com/pages/publications/85035312707?origin=resultslist</t>
  </si>
  <si>
    <t xml:space="preserve">Advanced Mass-Spectra-Based Machine Learning for Predicting the Toxicity of Traditional Chinese Medicines</t>
  </si>
  <si>
    <t xml:space="preserve">The optimal classification model achieved a balanced accuracy of over 0.74.</t>
  </si>
  <si>
    <t xml:space="preserve">Analytical Chemistry</t>
  </si>
  <si>
    <t>https://doi.org/10.1021/acs.analchem.4c05311</t>
  </si>
  <si>
    <t>https://www.scopus.com/pages/publications/85212787187?origin=resultslist</t>
  </si>
  <si>
    <t xml:space="preserve">Quantitative structure activity relationship-based prediction of acute exposure guideline levels for aliphatic compounds</t>
  </si>
  <si>
    <t xml:space="preserve">Furthermore, we conducted a comparative analysis of the performance of these four models on both training and testing datasets, with the VR model demonstrating superior performance.</t>
  </si>
  <si>
    <t>https://doi.org/10.1093/etojnl/vgaf137</t>
  </si>
  <si>
    <t>https://www.scopus.com/pages/publications/105012246300?origin=resultslist</t>
  </si>
  <si>
    <t xml:space="preserve">An effective machine learning model for rat acute oral toxicity prediction of emerging chemicals: multi-domain applications and structure-activity relationships</t>
  </si>
  <si>
    <t xml:space="preserve">Using molecular descriptors and fingerprints, the model achieves an accuracy above 0.86 and a recall score over 0.84, outperforming previous models.</t>
  </si>
  <si>
    <t>https://doi.org/10.1080/1062936X.2025.2531172</t>
  </si>
  <si>
    <t>https://www.scopus.com/pages/publications/105012191624?origin=resultslist</t>
  </si>
  <si>
    <t xml:space="preserve">ToxiM: A toxicity prediction tool for small molecules developed using machine learning and chemoinformatics approaches</t>
  </si>
  <si>
    <t xml:space="preserve">Random Forest; Linear Regression</t>
  </si>
  <si>
    <t xml:space="preserve">On 10-fold cross-validation, the descriptor-based, fingerprint-based and hybrid-based classification models showed similar accuracy (93%) and Matthews's correlation coefficient (0.84).</t>
  </si>
  <si>
    <t>https://doi.org/10.3389/fphar.2017.00880</t>
  </si>
  <si>
    <t>https://www.scopus.com/pages/publications/85036645516?origin=resultslist</t>
  </si>
  <si>
    <t xml:space="preserve">Predictive modeling of estrogen receptor agonism, antagonism, and binding activities using machine- and deep-learning approaches</t>
  </si>
  <si>
    <t xml:space="preserve">7500 compounds</t>
  </si>
  <si>
    <t xml:space="preserve">The resulting model performance was evaluated using the area under the receiver- operating curve (AUC) values obtained from a fivefold cross-validation procedure.</t>
  </si>
  <si>
    <t xml:space="preserve">Laboratory Investigation</t>
  </si>
  <si>
    <t>https://doi.org/10.1038/s41374-020-00477-2</t>
  </si>
  <si>
    <t>https://www.scopus.com/pages/publications/85089260102?origin=resultslist</t>
  </si>
  <si>
    <t xml:space="preserve">Comparative evaluation and selection of optimal QSAR-based machine learning model for liver toxicity prediction</t>
  </si>
  <si>
    <t xml:space="preserve">219 compounds</t>
  </si>
  <si>
    <t xml:space="preserve">ECFP; Molecular fingerprints; Molecular descriptors</t>
  </si>
  <si>
    <t xml:space="preserve">Random Forest; XGBoost; Gradient Boosting; SVM/SVR; kNN; Logistic Regression</t>
  </si>
  <si>
    <t xml:space="preserve">Hyper parameter optimisation done by using Grid Search CV and Randomized Search CV, with ROC-AUC as the scoring objective, with (n-estimators = 388, max-depth = 15) achieved a test set ROC-AUC of 0.728, a recall of 0.706, and an F1-score of 0.700.</t>
  </si>
  <si>
    <t xml:space="preserve">Molecular Diversity</t>
  </si>
  <si>
    <t>https://doi.org/10.1007/s11030-026-11615-1</t>
  </si>
  <si>
    <t>https://www.scopus.com/pages/publications/105041404485?origin=resultslist</t>
  </si>
  <si>
    <t xml:space="preserve">Explainable machine learning models enhance prediction of PFAS bioactivity using quantitative molecular surface analysis-derived representation</t>
  </si>
  <si>
    <t xml:space="preserve">Using QMSA descriptors, five machine learning models (e.g., random forest) achieved outstanding performance, with best accuracy of 0.950 ± 0.017, AUC-ROC of 0.938 ± 0.012, F1-score of 0.734 ± 0.024, and MCC of 0.684 ± 0.111 for five targets (tyrosyl-DNA phosphodiesterase 1 in the absence/presence of camptothecin, ATXN2 protein, transcription factor</t>
  </si>
  <si>
    <t>https://doi.org/10.1016/j.watres.2025.123500</t>
  </si>
  <si>
    <t>https://www.scopus.com/pages/publications/105000045071?origin=resultslist</t>
  </si>
  <si>
    <t xml:space="preserve">Application of Machine Learning Methods to Predict the Air Half-Lives of Persistent Organic Pollutants</t>
  </si>
  <si>
    <t xml:space="preserve">The determination coefficients (R2) and relative errors (RE) for the mean air half-life of each model are 0.916 and 3.489% (PLS), 0.939 and 5.048% (MLR), 0.938 and 5.131% (GFA), respectively.</t>
  </si>
  <si>
    <t>https://doi.org/10.3390/molecules28227457</t>
  </si>
  <si>
    <t>https://www.scopus.com/pages/publications/85177762739?origin=resultslist</t>
  </si>
  <si>
    <t xml:space="preserve">Critical features identification for chemical chronic toxicity based on mechanistic forecast models</t>
  </si>
  <si>
    <t xml:space="preserve">Random Forest; SVM/SVR; Bayesian model</t>
  </si>
  <si>
    <t xml:space="preserve">The best binary model was 1D &amp; 2D molecular descriptors – random trees model (RT) with high balanced accuracy (BA) (0.83 for training and 0.83 for validation set), and Matthews correlation coefficient (MCC) (0.72 for training set and 0.67 for validation set).</t>
  </si>
  <si>
    <t>https://doi.org/10.1016/j.envpol.2022.119584</t>
  </si>
  <si>
    <t>https://www.scopus.com/pages/publications/85132213881?origin=resultslist</t>
  </si>
  <si>
    <t xml:space="preserve">Machine learning for the prediction of phenols cytotoxicity</t>
  </si>
  <si>
    <t xml:space="preserve">Using classical statistical methods may affect the accuracy and the reliability of the developed QSAR models.</t>
  </si>
  <si>
    <t xml:space="preserve">International Journal of Advances in Intelligent Informatics</t>
  </si>
  <si>
    <t>https://doi.org/10.26555/ijain.v8i1.748</t>
  </si>
  <si>
    <t>https://www.scopus.com/pages/publications/85130809573?origin=resultslist</t>
  </si>
  <si>
    <t xml:space="preserve">Advancing chronic toxicity risk assessment in freshwater ecology by molecular characterization-based machine learning</t>
  </si>
  <si>
    <t xml:space="preserve">XGBoost; GAT</t>
  </si>
  <si>
    <t xml:space="preserve">Considering computational efficiency and performance (R2 = 0.78; RMSE = 0.77), XGBoost (XGB) was used for reliable QSAR-ML models predicting chronic toxicity using small- or medium-sized tabular data and the molecular descriptors.</t>
  </si>
  <si>
    <t>https://doi.org/10.1016/j.envpol.2023.123093</t>
  </si>
  <si>
    <t>https://www.scopus.com/pages/publications/85179881027?origin=resultslist</t>
  </si>
  <si>
    <t xml:space="preserve">Environmental Assessment of Chemicals: Artificial Intelligence for Predicting Persistence, Bioaccumulation, and Toxicity Properties</t>
  </si>
  <si>
    <t xml:space="preserve">130 molecules</t>
  </si>
  <si>
    <t xml:space="preserve">Cross-validation; Scaffold-based evaluation</t>
  </si>
  <si>
    <t xml:space="preserve">Performance was evaluated using accuracy, AUC-ROC, and F1-score.</t>
  </si>
  <si>
    <t xml:space="preserve">International Journal of Advanced Computer Science and Applications</t>
  </si>
  <si>
    <t>https://doi.org/10.14569/IJACSA.2026.0170133</t>
  </si>
  <si>
    <t>https://www.scopus.com/pages/publications/105029630082?origin=resultslist</t>
  </si>
  <si>
    <t xml:space="preserve">Quantum Inspired Zeroshot Classification For Adverse Drug Reactions Detection From Social Media Reviews</t>
  </si>
  <si>
    <t xml:space="preserve">QML molecular</t>
  </si>
  <si>
    <t xml:space="preserve">Quantum ML for molecular / toxicity prediction</t>
  </si>
  <si>
    <t xml:space="preserve">QML / hybrid quantum-classical</t>
  </si>
  <si>
    <t xml:space="preserve">Transformer; Parameterized quantum circuit</t>
  </si>
  <si>
    <t xml:space="preserve">Achieved an accuracy of 93% with a loss of 0.0393 with this proposed model.</t>
  </si>
  <si>
    <t xml:space="preserve">Actual QML / quantum computing</t>
  </si>
  <si>
    <t xml:space="preserve">Directly relevant quantum prior art for designing a fair classical–quantum comparison, especially encoding, kernels/circuits, qubit limits and evidence for or against advantage.</t>
  </si>
  <si>
    <t xml:space="preserve">Proceedings of the 2024 International Conference on Artificial Intelligence and Emerging Technology, Global AI Summit 2024</t>
  </si>
  <si>
    <t>https://doi.org/10.1109/GlobalAISummit62156.2024.10947885</t>
  </si>
  <si>
    <t>https://www.scopus.com/pages/publications/105003223961?origin=resultslist</t>
  </si>
  <si>
    <t xml:space="preserve">Supervised learning with quantum-enhanced feature spaces</t>
  </si>
  <si>
    <t xml:space="preserve">General QML methodology / benchmarking</t>
  </si>
  <si>
    <t xml:space="preserve">SVM/SVR; Quantum kernel; Parameterized quantum circuit</t>
  </si>
  <si>
    <t xml:space="preserve">Supports the quantum methodology and evaluation design (feature maps, trainability, noise, benchmarking or quantum-advantage claims), although the endpoint is not molecular toxicity.</t>
  </si>
  <si>
    <t>Nature</t>
  </si>
  <si>
    <t>https://doi.org/10.1038/s41586-019-0980-2</t>
  </si>
  <si>
    <t>https://www.scopus.com/pages/publications/85062860439?origin=resultslist</t>
  </si>
  <si>
    <t xml:space="preserve">Assessment of Quantum Feature Map for Binary Forest Classification using QSVM</t>
  </si>
  <si>
    <t xml:space="preserve">Quantum feature map</t>
  </si>
  <si>
    <t xml:space="preserve">SVM/SVR; QSVM</t>
  </si>
  <si>
    <t xml:space="preserve">This study bridges that gap by determining the optimal feature map for forest class identification, revealing the superior potential of the Pauli feature map in remote sensing data classification.</t>
  </si>
  <si>
    <t xml:space="preserve">International Geoscience and Remote Sensing Symposium (IGARSS)</t>
  </si>
  <si>
    <t>https://doi.org/10.1109/IGARSS55030.2025.11313953</t>
  </si>
  <si>
    <t>https://www.scopus.com/pages/publications/105032412033?origin=resultslist</t>
  </si>
  <si>
    <t xml:space="preserve">Quantum Machine Learning in Healthcare: Evaluating QNN and QSVM Models</t>
  </si>
  <si>
    <t xml:space="preserve">SVM/SVR; QSVM; QNN; Neural network; Parameterized quantum circuit</t>
  </si>
  <si>
    <t xml:space="preserve">The results indicate that QSVMs outperform QNNs across all datasets due to their susceptibility to overfitting.</t>
  </si>
  <si>
    <t xml:space="preserve">Proceedings of the International Joint Conference on Neural Networks</t>
  </si>
  <si>
    <t>https://doi.org/10.1109/IJCNN64981.2025.11227750</t>
  </si>
  <si>
    <t>https://www.scopus.com/pages/publications/105023973430?origin=resultslist</t>
  </si>
  <si>
    <t xml:space="preserve">Quantum Kernel based Support Vector Machine with Quantum Approximate Optimization Algorithm Embedding for improved Lung Cancer Prediction</t>
  </si>
  <si>
    <t xml:space="preserve">PCA / reduced features</t>
  </si>
  <si>
    <t xml:space="preserve">SVM/SVR; Quantum kernel</t>
  </si>
  <si>
    <t xml:space="preserve">Notably, the QKSVM model trained with a significantly selected feature vector of 4-Dimensions (4D) with Principal Component Analysis (PCA) emerges as the frontrunner in lung cancer predictions, achieving an outstanding test accuracy of 94.64% and the highest area under curve (AUC) metric of 82.33%.</t>
  </si>
  <si>
    <t xml:space="preserve">2024 15th International Conference on Computing Communication and Networking Technologies, ICCCNT 2024</t>
  </si>
  <si>
    <t>https://doi.org/10.1109/ICCCNT61001.2024.10725077</t>
  </si>
  <si>
    <t>https://www.scopus.com/pages/publications/85211181156?origin=resultslist</t>
  </si>
  <si>
    <t xml:space="preserve">Evaluation of conventional and quantum computing for predicting mortality based on small early-onset colorectal cancer data</t>
  </si>
  <si>
    <t xml:space="preserve">We evaluated the model based on the area under the curve in the receiver operating characteristic curve (AUROC).</t>
  </si>
  <si>
    <t xml:space="preserve">Applied Soft Computing</t>
  </si>
  <si>
    <t>https://doi.org/10.1016/j.asoc.2024.111781</t>
  </si>
  <si>
    <t>https://www.scopus.com/pages/publications/85195406747?origin=resultslist</t>
  </si>
  <si>
    <t xml:space="preserve">The effects of training quantum support vector machines with different samples from the same dataset</t>
  </si>
  <si>
    <t xml:space="preserve">SVM/SVR; QSVM; Parameterized quantum circuit</t>
  </si>
  <si>
    <t xml:space="preserve">It can be applied with high accuracy to a variety of difficult problems.</t>
  </si>
  <si>
    <t xml:space="preserve">AIP Conference Proceedings</t>
  </si>
  <si>
    <t>https://doi.org/10.1063/5.0178310</t>
  </si>
  <si>
    <t>https://www.scopus.com/pages/publications/85178008376?origin=resultslist</t>
  </si>
  <si>
    <t xml:space="preserve">Variational Quantum Circuits for Molecular Classification Using Graph Neural Network</t>
  </si>
  <si>
    <t xml:space="preserve">GNN; Neural network; Parameterized quantum circuit</t>
  </si>
  <si>
    <t xml:space="preserve">Proceedings - 2025 International Conference on Quantum Communications, Networking, and Computing, QCNC 2025</t>
  </si>
  <si>
    <t>https://doi.org/10.1109/QCNC64685.2025.00074</t>
  </si>
  <si>
    <t>https://www.scopus.com/pages/publications/105007860636?origin=resultslist</t>
  </si>
  <si>
    <t xml:space="preserve">Explainable Heart Disease Prediction Using Ensemble-Quantum Machine Learning Approach</t>
  </si>
  <si>
    <t xml:space="preserve">SVM/SVR; QSVC; VQC; QNN; Neural network; Ensemble</t>
  </si>
  <si>
    <t xml:space="preserve">Nowadays, quantum machine learning is attracting great interest in a wide range of fields due to its potential superior performance and capabilities.</t>
  </si>
  <si>
    <t xml:space="preserve">Intelligent Automation and Soft Computing</t>
  </si>
  <si>
    <t>https://doi.org/10.32604/iasc.2023.032262</t>
  </si>
  <si>
    <t>https://www.scopus.com/pages/publications/85139973817?origin=resultslist</t>
  </si>
  <si>
    <t xml:space="preserve">Predicting Molecular Properties With Quantum Kernels: A Study on the Qm9 Dataset</t>
  </si>
  <si>
    <t>QM9</t>
  </si>
  <si>
    <t xml:space="preserve">Predicting molecular properties is a cornerstone of drug discovery, materials science, and quantum chemistry, where accuracy and speed are critical.</t>
  </si>
  <si>
    <t xml:space="preserve">Proceedings of IEEE International Conference for Women in Innovation, Technology and Entrepreneurship, ICWITE 2025</t>
  </si>
  <si>
    <t>https://doi.org/10.1109/ICWITE64848.2025.11307106</t>
  </si>
  <si>
    <t>https://www.scopus.com/pages/publications/105032372770?origin=resultslist</t>
  </si>
  <si>
    <t xml:space="preserve">Harnessing Quantum Inspired Extreme Learning for Molecular Property Prediction</t>
  </si>
  <si>
    <t xml:space="preserve">Quantum ML model</t>
  </si>
  <si>
    <t xml:space="preserve">Overall, the results show that TNs can balance performance and accuracy in simulating quantum dynamics, allowing the simulation of datasets with a high number of features.</t>
  </si>
  <si>
    <t xml:space="preserve">Proceedings - IEEE Quantum Week 2025, QCE 2025</t>
  </si>
  <si>
    <t>https://doi.org/10.1109/QCE65121.2025.10452</t>
  </si>
  <si>
    <t>https://www.scopus.com/pages/publications/105030075678?origin=resultslist</t>
  </si>
  <si>
    <t xml:space="preserve">Integrating Quantum Computing Algorithms with Predictive Analytics of Customer Behaviour in E-Commerce</t>
  </si>
  <si>
    <t xml:space="preserve">SVM/SVR; QNN; Neural network; Ensemble</t>
  </si>
  <si>
    <t xml:space="preserve">These algorithms use quantum parallelism to achieve better accuracy while speeding up computations and handling unbalanced datasets.</t>
  </si>
  <si>
    <t xml:space="preserve">3rd International Conference on Advancements in Smart, Secure and Intelligent Computing, ASSIC 2025</t>
  </si>
  <si>
    <t>https://doi.org/10.1109/ASSIC64892.2025.11158364</t>
  </si>
  <si>
    <t>https://www.scopus.com/pages/publications/105018080280?origin=resultslist</t>
  </si>
  <si>
    <t xml:space="preserve">Drug Discovery Using Variational Quantum EigenSolver</t>
  </si>
  <si>
    <t xml:space="preserve">By combining these two technologies, we aim to improve the accuracy and efficiency of molecular property prediction compared to traditional methods.</t>
  </si>
  <si>
    <t xml:space="preserve">Lecture Notes in Networks and Systems</t>
  </si>
  <si>
    <t>https://doi.org/10.1007/978-981-96-3942-7_51</t>
  </si>
  <si>
    <t>https://www.scopus.com/pages/publications/105012918850?origin=resultslist</t>
  </si>
  <si>
    <t xml:space="preserve">Autism Spectrum Disorder Detection with Quantum Machine Learning Methods</t>
  </si>
  <si>
    <t xml:space="preserve">SVM/SVR; QSVC; VQC</t>
  </si>
  <si>
    <t xml:space="preserve">Through thorough experimentation and thoughtful analysis, this study assesses the algorithms' effectiveness in discerning autism from non-Autism cases, considering aspects like accuracy, computational efficiency, and scalability.</t>
  </si>
  <si>
    <t xml:space="preserve">6th International Conference on Intelligent Computing in Data Sciences, ICDS 2024</t>
  </si>
  <si>
    <t>https://doi.org/10.1109/ICDS62089.2024.10756377</t>
  </si>
  <si>
    <t>https://www.scopus.com/pages/publications/85211958702?origin=resultslist</t>
  </si>
  <si>
    <t xml:space="preserve">QKiSVM: A Novel Quantum Kernel-Infused Support Vector Machine Algorithm for Classification of Anomalous VMs in Public Cloud</t>
  </si>
  <si>
    <t xml:space="preserve">SVM/SVR; QSVM; Quantum kernel; Parameterized quantum circuit</t>
  </si>
  <si>
    <t xml:space="preserve">For validation, we conduct a comprehensive performance evaluation, comparing QKiSVM with PSO-SVM and QSVM using key metrics such as accuracy, precision, recall, F1-score, training time, resource utilization, computational cost, and hyperparameter tuning time.</t>
  </si>
  <si>
    <t xml:space="preserve">SN Computer Science</t>
  </si>
  <si>
    <t>https://doi.org/10.1007/s42979-026-04904-x</t>
  </si>
  <si>
    <t>https://www.scopus.com/pages/publications/105036005205?origin=resultslist</t>
  </si>
  <si>
    <t xml:space="preserve">Quantum extreme learning of molecular potential energy surfaces and force fields</t>
  </si>
  <si>
    <t xml:space="preserve">Quantum-chemical molecular properties</t>
  </si>
  <si>
    <t xml:space="preserve">QNN; Neural network; Linear Regression</t>
  </si>
  <si>
    <t xml:space="preserve">Compared to other supervised learning routines, the proposed setup requires minimal quantum resources, making it feasible for direct implementation on quantum platforms, while still achieving a high level of predictive accuracy compared to simulations.</t>
  </si>
  <si>
    <t xml:space="preserve">Machine Learning: Science and Technology</t>
  </si>
  <si>
    <t>https://doi.org/10.1088/2632-2153/ad6120</t>
  </si>
  <si>
    <t>https://www.scopus.com/pages/publications/85199154449?origin=resultslist</t>
  </si>
  <si>
    <t xml:space="preserve">Research on accelerated solution of SVM classification task based on quantum computing</t>
  </si>
  <si>
    <t xml:space="preserve">Quantum-adjacent; verify full text</t>
  </si>
  <si>
    <t xml:space="preserve">Proceedings of SPIE - The International Society for Optical Engineering</t>
  </si>
  <si>
    <t>https://doi.org/10.1117/12.3066924</t>
  </si>
  <si>
    <t>https://www.scopus.com/pages/publications/105014319608?origin=resultslist</t>
  </si>
  <si>
    <t xml:space="preserve">Why Classical-Quantum Machine Learning Works Better Than Classical Machine Learning</t>
  </si>
  <si>
    <t xml:space="preserve">SVM/SVR; QSVM; Quantum kernel; Logistic Regression; Parameterized quantum circuit</t>
  </si>
  <si>
    <t xml:space="preserve">Quantum machine learning has emerged as a promising paradigm that leverages quantum computational principles to potentially outperform classical approaches on specific learning tasks.</t>
  </si>
  <si>
    <t xml:space="preserve">2026 IEEE 2nd International Conference on Quantum Photonics, Artificial Intelligence and Networking, QPAIN 2026</t>
  </si>
  <si>
    <t>https://doi.org/10.1109/QPAIN69676.2026.11546286</t>
  </si>
  <si>
    <t>https://www.scopus.com/pages/publications/105043014474?origin=resultslist</t>
  </si>
  <si>
    <t xml:space="preserve">Hybrid Quantum Support Vector Machine for Early Detection of Mental Health Disorder</t>
  </si>
  <si>
    <t xml:space="preserve">SVM/SVR; QSVM; Quantum kernel</t>
  </si>
  <si>
    <t xml:space="preserve">This performance upper bound is validated by the combined classical benchmark accuracy of 86.59%.</t>
  </si>
  <si>
    <t xml:space="preserve">Proceedings of International Conference on Next-Gen Quantum and Advanced Computing: Algorithms, Security, and Beyond, NQComp 2026</t>
  </si>
  <si>
    <t>https://doi.org/10.1109/NQComp68334.2026.11497769</t>
  </si>
  <si>
    <t>https://www.scopus.com/pages/publications/105041564545?origin=resultslist</t>
  </si>
  <si>
    <t xml:space="preserve">Exploring quantum active learning for materials design and discovery</t>
  </si>
  <si>
    <t xml:space="preserve">Physical Chemistry Chemical Physics</t>
  </si>
  <si>
    <t>https://doi.org/10.1039/d5cp04800a</t>
  </si>
  <si>
    <t>https://www.scopus.com/pages/publications/105033200280?origin=resultslist</t>
  </si>
  <si>
    <t xml:space="preserve">Evaluating Quantum Support Vector Regression Methods for Price Forecasting Applications</t>
  </si>
  <si>
    <t xml:space="preserve">We could demonstrate that quantum kernels are comparable to or even better than the classical support vector machine kernels regarding the mean absolute percentage error scores for both encoded and unencoded datasets.</t>
  </si>
  <si>
    <t xml:space="preserve">International Conference on Agents and Artificial Intelligence</t>
  </si>
  <si>
    <t>https://doi.org/10.5220/0012351400003636</t>
  </si>
  <si>
    <t>https://www.scopus.com/pages/publications/85190763740?origin=resultslist</t>
  </si>
  <si>
    <t xml:space="preserve">A kernel-based quantum random forest for improved classification</t>
  </si>
  <si>
    <t xml:space="preserve">Random Forest; SVM/SVR; QSVM; Quantum kernel; Ensemble</t>
  </si>
  <si>
    <t xml:space="preserve">We numerically illustrate the effect of varying model hyperparameters and finally demonstrate that the QRF is able to obtain superior performance over QSVMs, while also requiring fewer kernel estimations.</t>
  </si>
  <si>
    <t xml:space="preserve">Quantum Machine Intelligence</t>
  </si>
  <si>
    <t>https://doi.org/10.1007/s42484-023-00131-2</t>
  </si>
  <si>
    <t>https://www.scopus.com/pages/publications/85184841916?origin=resultslist</t>
  </si>
  <si>
    <t xml:space="preserve">All Open Access</t>
  </si>
  <si>
    <t xml:space="preserve">Performance evaluation of quantum support vector machine for COVID-19 biomarker analysis</t>
  </si>
  <si>
    <t xml:space="preserve">Results Across diverse experimental conditions, the quantum support vector machine achieved classification performance comparable to, and in some settings slightly higher than, that of the classical support vector machine.</t>
  </si>
  <si>
    <t xml:space="preserve">Computer Methods and Programs in Biomedicine</t>
  </si>
  <si>
    <t>https://doi.org/10.1016/j.cmpb.2026.109343</t>
  </si>
  <si>
    <t>https://www.scopus.com/pages/publications/105035802124?origin=resultslist</t>
  </si>
  <si>
    <t xml:space="preserve">Quantum Machine Learning in Chemical Compound Space</t>
  </si>
  <si>
    <t xml:space="preserve">Angewandte Chemie - International Edition</t>
  </si>
  <si>
    <t>https://doi.org/10.1002/anie.201709686</t>
  </si>
  <si>
    <t>https://www.scopus.com/pages/publications/85043759890?origin=resultslist</t>
  </si>
  <si>
    <t xml:space="preserve">Quantum-Enhanced AI for Predictive Analytics in Manufacturing</t>
  </si>
  <si>
    <t xml:space="preserve">QNN; Neural network</t>
  </si>
  <si>
    <t xml:space="preserve">The proposed QAI framework demonstrated higher predictive accuracy (12 to 15) than state-of-the-art hybrid quantum-classical and classical models, with superior accuracy, memorability, and F1 scores, and showed exceptional capabilities in anomaly detection, failure prediction, and optimisation.</t>
  </si>
  <si>
    <t xml:space="preserve">2025 IEEE 2nd International Conference on Green Industrial Electronics and Sustainable Technologies, GIEST 2025</t>
  </si>
  <si>
    <t>https://doi.org/10.1109/GIEST66547.2025.11387579</t>
  </si>
  <si>
    <t>https://www.scopus.com/pages/publications/105035323314?origin=resultslist</t>
  </si>
  <si>
    <t xml:space="preserve">Quantum Support Vector Machines for Continuum Suppression in B Meson Decays</t>
  </si>
  <si>
    <t xml:space="preserve">A possibility this opens up within the field of machine learning is the use of quantum techniques that may be inefficient to simulate classically but could provide superior performance in some tasks.</t>
  </si>
  <si>
    <t xml:space="preserve">Computing and Software for Big Science</t>
  </si>
  <si>
    <t>https://doi.org/10.1007/s41781-021-00075-x</t>
  </si>
  <si>
    <t>https://www.scopus.com/pages/publications/85120174100?origin=resultslist</t>
  </si>
  <si>
    <t xml:space="preserve">Beyond Classical Limits: How Quantum SVMs and Feature Maps Revolutionize Machine Learning</t>
  </si>
  <si>
    <t xml:space="preserve">Comparative analyses reveal QSVMs outperform classical counterparts in managing complex data patterns and achieving higher accuracy on benchmark datasets.</t>
  </si>
  <si>
    <t>https://doi.org/10.1007/978-3-032-15764-5_44</t>
  </si>
  <si>
    <t>https://www.scopus.com/pages/publications/105040552202?origin=resultslist</t>
  </si>
  <si>
    <t xml:space="preserve">A Quantum Machine Learning Framework for Early Lung Cancer Detection: A Comparative Study with Classical SVM</t>
  </si>
  <si>
    <t xml:space="preserve">Proceedings of the 4th International Conference on Innovative Mechanisms for Industry Applications, ICIMIA 2025</t>
  </si>
  <si>
    <t>https://doi.org/10.1109/ICIMIA67127.2025.11200790</t>
  </si>
  <si>
    <t>https://www.scopus.com/pages/publications/105021932696?origin=resultslist</t>
  </si>
  <si>
    <t xml:space="preserve">Optimizing feature selection for predictive analytics with quantum algorithms</t>
  </si>
  <si>
    <t xml:space="preserve">SVM/SVR; QSVM; QNN; Neural network; kNN</t>
  </si>
  <si>
    <t xml:space="preserve">And, to this, quantum optimization algorithms like Quantum Approximate Optimization Algorithm (QAOA) and Variational Quantum Eigensolver (VQE) are mentioned for their role in optimising model parameters and improving prediction accuracy.</t>
  </si>
  <si>
    <t xml:space="preserve">The Quantum AI Era of Neuromarketing</t>
  </si>
  <si>
    <t>https://doi.org/10.4018/979-8-3693-7673-7.ch009</t>
  </si>
  <si>
    <t>https://www.scopus.com/pages/publications/86000240443?origin=resultslist</t>
  </si>
  <si>
    <t xml:space="preserve">Chemometrics approach for the prediction of chemical compounds’ toxicity degree based on quantum inspired optimization with applications in drug discovery</t>
  </si>
  <si>
    <t xml:space="preserve">Quantum-inspired molecular modeling</t>
  </si>
  <si>
    <t xml:space="preserve">Quantum-inspired ML</t>
  </si>
  <si>
    <t xml:space="preserve">This paper proposes a Quantum Inspired Genetic Programming “QIGP” model to improve prediction accuracy.</t>
  </si>
  <si>
    <t xml:space="preserve">Quantum-inspired (classical implementation)</t>
  </si>
  <si>
    <t xml:space="preserve">Related computational idea, but it should not be counted as evidence of gate-based/annealing QML advantage.</t>
  </si>
  <si>
    <t xml:space="preserve">Chemometrics and Intelligent Laboratory Systems</t>
  </si>
  <si>
    <t>https://doi.org/10.1016/j.chemolab.2019.103826</t>
  </si>
  <si>
    <t>https://www.scopus.com/pages/publications/85071617952?origin=resultslist</t>
  </si>
  <si>
    <t xml:space="preserve">EXPLORING QUANTUM MACHINE LEARNING ALGORITHMS FOR ENHANCED CHEMICAL TOXICITY CLASSIFICATION</t>
  </si>
  <si>
    <t xml:space="preserve">Molecular fingerprints; SMILES</t>
  </si>
  <si>
    <t xml:space="preserve">QSVC; Parameterized quantum circuit</t>
  </si>
  <si>
    <t xml:space="preserve">The models are trained and optimized by using different optimizers and then evaluated based on the accuracy metric.</t>
  </si>
  <si>
    <t xml:space="preserve">Journal of Theoretical and Applied Information Technology</t>
  </si>
  <si>
    <t>https://www.scopus.com/pages/publications/105016467422?origin=resultslist</t>
  </si>
  <si>
    <t xml:space="preserve">QuantumTox: Utilizing quantum chemistry with ensemble learning for molecular toxicity prediction</t>
  </si>
  <si>
    <t xml:space="preserve">Molecular fingerprints; 3D molecular information</t>
  </si>
  <si>
    <t xml:space="preserve">Gradient Boosting; Ensemble</t>
  </si>
  <si>
    <t xml:space="preserve">In the downstream prediction phase, we use Gradient Boosting Decision Tree and Bagging ensemble learning methods together to improve the accuracy and generalization of the model.</t>
  </si>
  <si>
    <t>https://doi.org/10.1016/j.compbiomed.2023.106744</t>
  </si>
  <si>
    <t>https://www.scopus.com/pages/publications/85150292873?origin=resultslist</t>
  </si>
  <si>
    <t xml:space="preserve">Q-GEM: Quantum Chemistry Knowledge Fusion Geometry-Enhanced Molecular Representation for Property Prediction</t>
  </si>
  <si>
    <t xml:space="preserve">Molecular graphs / GNN representation; 3D molecular information</t>
  </si>
  <si>
    <t xml:space="preserve">Q-GEM comprises a GNN embedded with the molecular electronic and complete 3D geometrical structural information as well as several well-designed multiscale SSL tasks, achieving superior absolute molecular conformation prediction and conformational discrimination.</t>
  </si>
  <si>
    <t xml:space="preserve">Advanced Science</t>
  </si>
  <si>
    <t>https://doi.org/10.1002/advs.202504867</t>
  </si>
  <si>
    <t>https://www.scopus.com/pages/publications/105008685305?origin=resultslist</t>
  </si>
  <si>
    <t xml:space="preserve">Quantum Machine Learning for Anomaly Detection in Brain Imaging Related to Mental Health</t>
  </si>
  <si>
    <t xml:space="preserve">SVM/SVR; QSVM; VQC; CNN; Neural network</t>
  </si>
  <si>
    <t xml:space="preserve">Quantum Machine Learning (QML) offers a transformative solution by enhancing feature representation, improving classification accuracy, and exploiting the power of quantum computation for large-scale medical imaging datasets.</t>
  </si>
  <si>
    <t xml:space="preserve">SITA 2025 - 15th International Conference on Intelligent Systems: Theories and Applications</t>
  </si>
  <si>
    <t>https://doi.org/10.1109/SITA67914.2025.11273773</t>
  </si>
  <si>
    <t>https://www.scopus.com/pages/publications/105030479153?origin=resultslist</t>
  </si>
  <si>
    <t xml:space="preserve">Machine learning model for non-equilibrium structures and energies of simple molecules</t>
  </si>
  <si>
    <t xml:space="preserve">Predicting molecular properties using a Machine Learning (ML) method is gaining interest among research as it offers quantum chemical accuracy at molecular mechanics speed.</t>
  </si>
  <si>
    <t>https://doi.org/10.1063/1.5054968</t>
  </si>
  <si>
    <t>https://www.scopus.com/pages/publications/85059819744?origin=resultslist</t>
  </si>
  <si>
    <t xml:space="preserve">Harnessing Quantum Kernels for Supervised Learning: A Deep Dive into Quantum SVMs</t>
  </si>
  <si>
    <t xml:space="preserve">The quantum support vector machines (QSVMs) offer a paradigm change that may leverage quantum mechanical processes to outperform traditional support vector machines (SVMs) in high-dimensional and nonlinear classification tasks.</t>
  </si>
  <si>
    <t xml:space="preserve">Quantum Machine Learning: Revolutionizing Data Analysis and Optimization</t>
  </si>
  <si>
    <t>https://doi.org/10.1201/9781003646068-3</t>
  </si>
  <si>
    <t>https://www.scopus.com/pages/publications/105046260151?origin=resultslist</t>
  </si>
  <si>
    <t xml:space="preserve">Performance Analysis of Quantum-Enhanced Kernel Classifiers Based on Feature Maps: A Case Study on EEG-BCI Data</t>
  </si>
  <si>
    <t xml:space="preserve">SVM/SVR; QSVC; Quantum kernel</t>
  </si>
  <si>
    <t xml:space="preserve">Finally, the study demonstrates the analytical advantages of the proposed quantum feature map over state-of-the-art feature maps and various classical classifiers through classification accuracy.</t>
  </si>
  <si>
    <t xml:space="preserve">Lecture Notes in Computer Science</t>
  </si>
  <si>
    <t>https://doi.org/10.1007/978-981-96-6579-2_25</t>
  </si>
  <si>
    <t>https://www.scopus.com/pages/publications/105010137713?origin=resultslist</t>
  </si>
  <si>
    <t xml:space="preserve">Δ-Quantum machine-learning for medicinal chemistry</t>
  </si>
  <si>
    <t>https://doi.org/10.1039/d2cp00834c</t>
  </si>
  <si>
    <t>https://www.scopus.com/pages/publications/85130227687?origin=resultslist</t>
  </si>
  <si>
    <t xml:space="preserve">Quantum Kernel-based Machine Learning for Multi-Omic Stratification of Lung Cancer Subtypes</t>
  </si>
  <si>
    <t xml:space="preserve">Random Forest; SVM/SVR; QSVC; Quantum kernel</t>
  </si>
  <si>
    <t xml:space="preserve">Computational modeling allows data analysis over large scales, which helps in making precision classification in large datasets or high-dimensional datasets.</t>
  </si>
  <si>
    <t xml:space="preserve">Proceedings of 5th International Conference on Evolutionary Computing and Mobile Sustainable Networks, ICECMSN 2025</t>
  </si>
  <si>
    <t>https://doi.org/10.1109/ICECMSN68058.2025.11383054</t>
  </si>
  <si>
    <t>https://www.scopus.com/pages/publications/105035491122?origin=resultslist</t>
  </si>
  <si>
    <t xml:space="preserve">Design and Implementation of Efficient Quantum Support Vector Machine</t>
  </si>
  <si>
    <t xml:space="preserve">International Conference on Electrical, Computer, and Energy Technologies, ICECET 2021</t>
  </si>
  <si>
    <t>https://doi.org/10.1109/ICECET52533.2021.9698509</t>
  </si>
  <si>
    <t>https://www.scopus.com/pages/publications/85127019973?origin=resultslist</t>
  </si>
  <si>
    <t>2006</t>
  </si>
  <si>
    <t xml:space="preserve">Application of support vector machine (SVM) for prediction toxic activity of different data sets</t>
  </si>
  <si>
    <t>Toxicology</t>
  </si>
  <si>
    <t>https://doi.org/10.1016/j.tox.2005.08.019</t>
  </si>
  <si>
    <t>https://www.scopus.com/pages/publications/28844500372?origin=resultslist</t>
  </si>
  <si>
    <t xml:space="preserve">A hybrid QSVM-QNN approach for breast cancer diagnosis using quantum feature maps</t>
  </si>
  <si>
    <t xml:space="preserve">SVM/SVR; QSVM; VQC; QNN; Quantum kernel; Neural network</t>
  </si>
  <si>
    <t xml:space="preserve">Quantum assisted machine learning (QML) have the potential to outperform the classical Machine Learning models by utilizing the quantum feature maps embeddings and variational circuits.</t>
  </si>
  <si>
    <t xml:space="preserve">PeerJ Computer Science</t>
  </si>
  <si>
    <t>https://doi.org/10.7717/peerj-cs.3600</t>
  </si>
  <si>
    <t>https://www.scopus.com/pages/publications/105034998676?origin=resultslist</t>
  </si>
  <si>
    <t xml:space="preserve">Performance Evaluation of Quantum Machine Learning Classifiers in Bioinformatics Applications</t>
  </si>
  <si>
    <t xml:space="preserve">SVM/SVR; QSVC; Parameterized quantum circuit</t>
  </si>
  <si>
    <t xml:space="preserve">Our evaluation performance uses AUROC and PRAUC as the primary references, followed by accuracy and F1-score.</t>
  </si>
  <si>
    <t xml:space="preserve">Beyond Technology Summit on Informatics International Conference, BTS-I2C 2025</t>
  </si>
  <si>
    <t>https://doi.org/10.1109/BTS-I2C67944.2025.11399503</t>
  </si>
  <si>
    <t>https://www.scopus.com/pages/publications/105035996885?origin=resultslist</t>
  </si>
  <si>
    <t xml:space="preserve">Thyroid Disease Prediction using Quantum Support Vector Machine Classifier</t>
  </si>
  <si>
    <t xml:space="preserve">The QSVM classifier attained a prediction accuracy of 99.44%, precision of 98.62%, recall of 98.61%, and F1-score of 98.61%, underscoring its efficacy in distinguishing between normal and abnormal thyroid diseases.</t>
  </si>
  <si>
    <t xml:space="preserve">Proceedings of the 9th International Conference on Electronics, Communication and Aerospace Technology, ICECA 2025</t>
  </si>
  <si>
    <t>https://doi.org/10.1109/ICECA66444.2025.11383064</t>
  </si>
  <si>
    <t>https://www.scopus.com/pages/publications/105034850041?origin=resultslist</t>
  </si>
  <si>
    <t xml:space="preserve">Quantum Kernel-Based Classification: An Optimized Quantum Support Vector Classifier Approach</t>
  </si>
  <si>
    <t xml:space="preserve">SVM/SVR; QSVC; Quantum kernel; Parameterized quantum circuit</t>
  </si>
  <si>
    <t xml:space="preserve">The proposed QSVC demonstrates competitive accuracy on both the training and testing datasets, highlighting the potential of quantum kernel methods in practical machine learning applications.</t>
  </si>
  <si>
    <t xml:space="preserve">2024 6th International Conference on Frontier Technologies of Information and Computer, ICFTIC 2024</t>
  </si>
  <si>
    <t>https://doi.org/10.1109/ICFTIC64248.2024.10913090</t>
  </si>
  <si>
    <t>https://www.scopus.com/pages/publications/105001669437?origin=resultslist</t>
  </si>
  <si>
    <t xml:space="preserve">Experimental Benchmarking of Quantum Machine Learning Classifiers</t>
  </si>
  <si>
    <t xml:space="preserve">SVM/SVR; QSVC; QNN; Neural network; Parameterized quantum circuit</t>
  </si>
  <si>
    <t xml:space="preserve">Our findings revealed that PegasosQSVC consistently maintained high performance across all datasets with the highest average accuracy, recall, and F1-score values of 0.81, 0.72, and 0.71, respectively, followed by VQC, followed by VQC, while QSVC and QNNC perform variably.</t>
  </si>
  <si>
    <t xml:space="preserve">2023 6th International Conference on Signal Processing and Information Security, ICSPIS 2023</t>
  </si>
  <si>
    <t>https://doi.org/10.1109/ICSPIS60075.2023.10343811</t>
  </si>
  <si>
    <t>https://www.scopus.com/pages/publications/85182254476?origin=resultslist</t>
  </si>
  <si>
    <t xml:space="preserve">Exploring the Capabilities of Quantum Support Vector Machines for Image Classification on the MNIST Benchmark</t>
  </si>
  <si>
    <t xml:space="preserve">The proposed model obtained relatively high accuracy, up to 99%, tested on noiseless quantum simulators.</t>
  </si>
  <si>
    <t xml:space="preserve">Lecture Notes in Computer Science (including subseries Lecture Notes in Artificial Intelligence and Lecture Notes in Bioinformatics)</t>
  </si>
  <si>
    <t>https://doi.org/10.1007/978-3-031-36030-5_15</t>
  </si>
  <si>
    <t>https://www.scopus.com/pages/publications/85200713993?origin=resultslist</t>
  </si>
  <si>
    <t xml:space="preserve">A Hybrid Classical-Quantum Model for QSAR-Based Biodegradability Prediction</t>
  </si>
  <si>
    <t xml:space="preserve">SVM/SVR; QNN; Neural network; kNN; Parameterized quantum circuit</t>
  </si>
  <si>
    <t xml:space="preserve">The hybrid model yielded promising results, achieving an accuracy of 87.96%, precision of 84.29%, recall of 79.21%, F1-Score of 81.61%, specificity of 91.85%, and an AUROC of 0.92.</t>
  </si>
  <si>
    <t xml:space="preserve">2025 IEEE High Performance Extreme Computing Conference, HPEC 2025</t>
  </si>
  <si>
    <t>https://doi.org/10.1109/HPEC67600.2025.11196555</t>
  </si>
  <si>
    <t>https://www.scopus.com/pages/publications/105021468368?origin=resultslist</t>
  </si>
  <si>
    <t xml:space="preserve">Quantum support vector machine for big data classification</t>
  </si>
  <si>
    <t xml:space="preserve">Physical Review Letters</t>
  </si>
  <si>
    <t>https://doi.org/10.1103/PhysRevLett.113.130503</t>
  </si>
  <si>
    <t>https://www.scopus.com/pages/publications/84907425976?origin=resultslist</t>
  </si>
  <si>
    <t xml:space="preserve">Diabetes Prediction Using an Optimized Variational Quantum Classifier</t>
  </si>
  <si>
    <t xml:space="preserve">Random Forest; XGBoost; VQC; Linear Regression; Parameterized quantum circuit</t>
  </si>
  <si>
    <t xml:space="preserve">The optimal proposed model attained the accuracy of 0.85 and 0.80 for eight and four qubits’ cases, respectively.</t>
  </si>
  <si>
    <t xml:space="preserve">International Journal of Intelligent Systems</t>
  </si>
  <si>
    <t>https://doi.org/10.1155/int/1351522</t>
  </si>
  <si>
    <t>https://www.scopus.com/pages/publications/105000665013?origin=resultslist</t>
  </si>
  <si>
    <t xml:space="preserve">Pairwise classification using quantum support vector machine with Kronecker kernel</t>
  </si>
  <si>
    <t xml:space="preserve">This indicates that a quantum support vector machine with a Kronecker kernel algorithm can achieve accuracy equivalent to that of the classical algorithm more efficiently and scalably.</t>
  </si>
  <si>
    <t>https://doi.org/10.1007/s42484-022-00082-0</t>
  </si>
  <si>
    <t>https://www.scopus.com/pages/publications/85136031427?origin=resultslist</t>
  </si>
  <si>
    <t xml:space="preserve">Experimental Evaluation of Quantum Machine Learning Algorithms</t>
  </si>
  <si>
    <t xml:space="preserve">SVM/SVR; QNN; Neural network</t>
  </si>
  <si>
    <t xml:space="preserve">Our experimental results show that quantum support vector machines outperform their classical counterparts on average by 3 to 4% in accuracy both on a quantum simulator as well as on a real quantum computer.</t>
  </si>
  <si>
    <t xml:space="preserve">IEEE Access</t>
  </si>
  <si>
    <t>https://doi.org/10.1109/ACCESS.2023.3236409</t>
  </si>
  <si>
    <t>https://www.scopus.com/pages/publications/85147260571?origin=resultslist</t>
  </si>
  <si>
    <t xml:space="preserve">Assessing the efficacy of quantum ML: QSVM and QNN on IBM simulators</t>
  </si>
  <si>
    <t xml:space="preserve">Performance is evaluated using accuracy, precision, recall, F1-score, training loss and execution time.</t>
  </si>
  <si>
    <t xml:space="preserve">Quantum Information Processing</t>
  </si>
  <si>
    <t>https://doi.org/10.1007/s11128-026-05270-6</t>
  </si>
  <si>
    <t>https://www.scopus.com/pages/publications/105045683542?origin=resultslist</t>
  </si>
  <si>
    <t xml:space="preserve">Supervised Machine Learning Strategies for Investigation of Weird Pattern Formulation from Large Volume Data Using Quantum Computing</t>
  </si>
  <si>
    <t xml:space="preserve">SVM/SVR; QSVM; Neural network</t>
  </si>
  <si>
    <t xml:space="preserve">This hyperplane will classify non-linear and complex data on multiclass domain to achieve improved accuracy in less computational time.</t>
  </si>
  <si>
    <t>https://doi.org/10.1007/978-981-16-2164-2_45</t>
  </si>
  <si>
    <t>https://www.scopus.com/pages/publications/85113386440?origin=resultslist</t>
  </si>
  <si>
    <t xml:space="preserve">Quantum Algorithm for Support Vector Machine with Exponentially Improved Dependence on Precision</t>
  </si>
  <si>
    <t xml:space="preserve">If the data set is well-defined, their algorithm runs in time poly(logMN, 1/ε), where ε is the desired precision of the output state.</t>
  </si>
  <si>
    <t>https://doi.org/10.1007/978-3-030-24268-8_53</t>
  </si>
  <si>
    <t>https://www.scopus.com/pages/publications/85073906833?origin=resultslist</t>
  </si>
  <si>
    <t xml:space="preserve">Enhancing Diabetes Prediction with Hybrid Traditional and Quantum Machine Learning Models</t>
  </si>
  <si>
    <t xml:space="preserve">Random Forest; Gradient Boosting; SVM/SVR; QSVC; QNN; Neural network</t>
  </si>
  <si>
    <t xml:space="preserve">This study presents a comprehensive approach combining traditional machine learning, quantum-enhanced algorithms, and data balancing techniques to improve predictive accuracy for diabetes detection.</t>
  </si>
  <si>
    <t xml:space="preserve">Lecture Notes in Electrical Engineering</t>
  </si>
  <si>
    <t>https://doi.org/10.1007/978-981-96-9720-5_22</t>
  </si>
  <si>
    <t>https://www.scopus.com/pages/publications/105028361326?origin=resultslist</t>
  </si>
  <si>
    <t xml:space="preserve">On the Applicability of Quantum Machine Learning</t>
  </si>
  <si>
    <t xml:space="preserve">XGBoost; LightGBM; CatBoost; Quantum kernel; Neural network; Linear Regression</t>
  </si>
  <si>
    <t xml:space="preserve">They do not match the accuracy and runtime performance of sophisticated modern boosting classifiers such as XGBoost, LightGBM, or CatBoost.</t>
  </si>
  <si>
    <t>Entropy</t>
  </si>
  <si>
    <t>https://doi.org/10.3390/e25070992</t>
  </si>
  <si>
    <t>https://www.scopus.com/pages/publications/85175113235?origin=resultslist</t>
  </si>
  <si>
    <t xml:space="preserve">Quantum SVM-based predictive analytics: transforming classification methods in healthcare and beyond</t>
  </si>
  <si>
    <t xml:space="preserve">PCA / reduced features; Quantum feature map</t>
  </si>
  <si>
    <t xml:space="preserve">Performance was measured using metrics such as accuracy, F1-score, ROC AUC, and R2.</t>
  </si>
  <si>
    <t>https://doi.org/10.1007/s11128-025-04892-6</t>
  </si>
  <si>
    <t>https://www.scopus.com/pages/publications/105013643149?origin=resultslist</t>
  </si>
  <si>
    <t xml:space="preserve">Comparative investigation of quantum and classical kernel functions applied in support vector machine algorithms</t>
  </si>
  <si>
    <t xml:space="preserve">In classification tasks, the quantum kernels provided significant competitiveness in terms of accuracy, precision, recall, and F1 measure scores when compared to the classical kernels.</t>
  </si>
  <si>
    <t>https://doi.org/10.1007/s11128-025-04728-3</t>
  </si>
  <si>
    <t>https://www.scopus.com/pages/publications/105002885937?origin=resultslist</t>
  </si>
  <si>
    <t xml:space="preserve">Hybrid quantum neural networks with variational quantum regressor for enhancing QSPR modeling of CO2-capturing amine</t>
  </si>
  <si>
    <t xml:space="preserve">QNN; GNN; Neural network; Parameterized quantum circuit</t>
  </si>
  <si>
    <t xml:space="preserve">Our results showed that HQNNs improve predictive accuracy for key solvent properties, including basicity, viscosity, boiling point, melting point, and vapor pressure.</t>
  </si>
  <si>
    <t xml:space="preserve">EPJ Quantum Technology</t>
  </si>
  <si>
    <t>https://doi.org/10.1140/epjqt/s40507-025-00385-8</t>
  </si>
  <si>
    <t>https://www.scopus.com/pages/publications/105008816945?origin=resultslist</t>
  </si>
  <si>
    <t xml:space="preserve">Quantum-Driven Predictive Analytics for Precision Medicine and Pharmacovigilance: A Multimodal Simulation Framework for Early Disease and Adverse Drug Event Detection</t>
  </si>
  <si>
    <t xml:space="preserve">XGBoost; SVM/SVR; QSVM; VQC; Neural network</t>
  </si>
  <si>
    <t xml:space="preserve">The computational intractability of the analysis of multimodal large-dimensional data, including genomics, electronic health records (EHR), proteomics, and real-world evidence, based on classical machine learning (ML) models, is the fundamental limitation of the precision medicine and proactive pharmacovigilance paradigm.</t>
  </si>
  <si>
    <t xml:space="preserve">Proceedings of the 4th IEEE International Conference on Interdisciplinary Approaches in Technology and Management for Social Innovation, IATMSI 2026</t>
  </si>
  <si>
    <t>https://doi.org/10.1109/IATMSI68868.2026.11465388</t>
  </si>
  <si>
    <t>https://www.scopus.com/pages/publications/105036951943?origin=resultslist</t>
  </si>
  <si>
    <t xml:space="preserve">Quantum Support Vector Machines and Quantum Kernel Methods</t>
  </si>
  <si>
    <t xml:space="preserve">Software - Practice and Experience</t>
  </si>
  <si>
    <t>https://doi.org/10.1002/spe.70070</t>
  </si>
  <si>
    <t>https://www.scopus.com/pages/publications/105035602052?origin=resultslist</t>
  </si>
  <si>
    <t xml:space="preserve">Quantum Machine Learning Predicting ADME-Tox Properties in Drug Discovery</t>
  </si>
  <si>
    <t xml:space="preserve">Based on our results from numerical simulations, the quantum model achieved the best performance as compared to classical counterparts in terms of the area under the curve of the receiver operating characteristic curve (AUC ROC; 0.80-0.95) for predicting outcomes on ADME-Tox data sets for small molecules, with a different number of features.</t>
  </si>
  <si>
    <t>https://doi.org/10.1021/acs.jcim.3c01079</t>
  </si>
  <si>
    <t>https://www.scopus.com/pages/publications/85169900413?origin=resultslist</t>
  </si>
  <si>
    <t xml:space="preserve">Quantum Machine Learning: An Effective Approach to High-dimensional Learning</t>
  </si>
  <si>
    <t xml:space="preserve">6th IEEE International Conference on Computational System and Information Technology for Sustainable Solutions, CSITSS 2022</t>
  </si>
  <si>
    <t>https://doi.org/10.1109/CSITSS57437.2022.10026399</t>
  </si>
  <si>
    <t>https://www.scopus.com/pages/publications/85147850847?origin=resultslist</t>
  </si>
  <si>
    <t xml:space="preserve">Quantum Machine Learning for Biomedical Classification Problems: A Feasibility Study on Real Quantum Hardware</t>
  </si>
  <si>
    <t xml:space="preserve">Results: The best-performing QSVM achieved an average classification accuracy of 0.9434 on real quantum hardware, which is comparable to the accuracy using classical SVM of 0.9371 on the same feature set.</t>
  </si>
  <si>
    <t xml:space="preserve">Annals of Biomedical Engineering</t>
  </si>
  <si>
    <t>https://doi.org/10.1007/s10439-026-04204-8</t>
  </si>
  <si>
    <t>https://www.scopus.com/pages/publications/105040153072?origin=resultslist</t>
  </si>
  <si>
    <t xml:space="preserve">The Intersection of Quantum Chemistry and Machine Learning: Unveiling New Molecular Properties</t>
  </si>
  <si>
    <t xml:space="preserve">Molecular fingerprints; Quantum feature map; Coulomb matrix</t>
  </si>
  <si>
    <t xml:space="preserve">The convergence of quantum chemistry and machine learning offers a novel approach for predicting and uncovering new molecular properties with enhanced accuracy and efficiency.</t>
  </si>
  <si>
    <t xml:space="preserve">16th International Conference on Advances in Computing, Control, and Telecommunication Technologies, ACT 2025</t>
  </si>
  <si>
    <t>https://www.scopus.com/pages/publications/105034140083?origin=resultslist</t>
  </si>
  <si>
    <t xml:space="preserve">Quantum-classical generative models for drug design</t>
  </si>
  <si>
    <t xml:space="preserve">Parameterized quantum circuit</t>
  </si>
  <si>
    <t>https://doi.org/10.1007/s42484-026-00356-x</t>
  </si>
  <si>
    <t>https://www.scopus.com/pages/publications/105033448297?origin=resultslist</t>
  </si>
  <si>
    <t xml:space="preserve">Comparative Analysis of Classical and Quantum Fuzzy Support Vector Machines for Binary Classification</t>
  </si>
  <si>
    <t xml:space="preserve">SVM/SVR; QSVM; kNN</t>
  </si>
  <si>
    <t xml:space="preserve">By evaluating performance metrics such as accuracy, precision, recall, and execution time, we have demonstrated that quantum approaches, particularly QFSVM, outperform classical methods in terms of runtime.</t>
  </si>
  <si>
    <t>https://doi.org/10.1007/978-981-95-0497-8_40</t>
  </si>
  <si>
    <t>https://www.scopus.com/pages/publications/105041093902?origin=resultslist</t>
  </si>
  <si>
    <t xml:space="preserve">Quantum Computing for Nanomaterials: Accelerating Material Discovery</t>
  </si>
  <si>
    <t xml:space="preserve">SVM/SVR; QSVM; QNN; Neural network</t>
  </si>
  <si>
    <t xml:space="preserve">Comparative analysis using performance metrics like MAE, RMSE, and R2 demonstrated that quantum models outperformed classical ones in both accuracy and adaptability to data complexity.</t>
  </si>
  <si>
    <t xml:space="preserve">Frontiers in Artificial Intelligence and Applications</t>
  </si>
  <si>
    <t>https://doi.org/10.3233/FAIA251501</t>
  </si>
  <si>
    <t>https://www.scopus.com/pages/publications/105024540271?origin=resultslist</t>
  </si>
  <si>
    <t xml:space="preserve">Quantum Computing for Machine Learning Applications</t>
  </si>
  <si>
    <t xml:space="preserve">SVM/SVR; QSVM; QNN; CNN; Neural network</t>
  </si>
  <si>
    <t xml:space="preserve">Although it has theoretical prospects, there are presently limited practical applications in machine learning in practice due to circuit depth, noise sensitivity, and limited qubit fidelity, which limit scalability and stability.</t>
  </si>
  <si>
    <t xml:space="preserve">Communications in Computer and Information Science</t>
  </si>
  <si>
    <t>https://doi.org/10.1007/978-3-032-22059-2_6</t>
  </si>
  <si>
    <t>https://www.scopus.com/pages/publications/105036962716?origin=resultslist</t>
  </si>
  <si>
    <t xml:space="preserve">Evaluating Classical, Hybrid, and NISQ-Era Quantum Regression Models for Atmospheric Pollutant Concentration Prediction</t>
  </si>
  <si>
    <t xml:space="preserve">SVM/SVR; Quantum kernel; Linear Regression; Parameterized quantum circuit; Quantum regression</t>
  </si>
  <si>
    <t xml:space="preserve">However, the quantum and hybrid approaches show comparable training times and provide useful insights into how these methods may scale in the future.</t>
  </si>
  <si>
    <t xml:space="preserve">2026 2nd International Conference on Advances in Intelligent Computing and Applications, AICAPS 2026</t>
  </si>
  <si>
    <t>https://doi.org/10.1109/AICAPS68631.2026.11452990</t>
  </si>
  <si>
    <t>https://www.scopus.com/pages/publications/105036811233?origin=resultslist</t>
  </si>
  <si>
    <t xml:space="preserve">A Variational Quantum Classifier for predictive analysis in industrial production</t>
  </si>
  <si>
    <t>VQC</t>
  </si>
  <si>
    <t xml:space="preserve">Internet of Things (The Netherlands)</t>
  </si>
  <si>
    <t>https://doi.org/10.1016/j.iot.2025.101695</t>
  </si>
  <si>
    <t>https://www.scopus.com/pages/publications/105011490850?origin=resultslist</t>
  </si>
  <si>
    <t xml:space="preserve">Universal expressiveness of variational quantum classifiers and quantum kernels for support vector machines</t>
  </si>
  <si>
    <t xml:space="preserve">SVM/SVR; VQC; Quantum kernel</t>
  </si>
  <si>
    <t xml:space="preserve">Nature Communications</t>
  </si>
  <si>
    <t>https://doi.org/10.1038/s41467-023-36144-5</t>
  </si>
  <si>
    <t>https://www.scopus.com/pages/publications/85147318753?origin=resultslist</t>
  </si>
  <si>
    <t xml:space="preserve">Quantum Machine Learning with HQC Architectures using non-Classically Simulable Feature Maps</t>
  </si>
  <si>
    <t xml:space="preserve">Proceedings of 2nd IEEE International Conference on Computational Intelligence and Knowledge Economy, ICCIKE 2021</t>
  </si>
  <si>
    <t>https://doi.org/10.1109/ICCIKE51210.2021.9410753</t>
  </si>
  <si>
    <t>https://www.scopus.com/pages/publications/85105386229?origin=resultslist</t>
  </si>
  <si>
    <t xml:space="preserve">Reliability assessment of variational quantum neural networks under noise models and error-mitigation strategies in the NISQ regime</t>
  </si>
  <si>
    <t xml:space="preserve">Random Forest; SVM/SVR; QNN; Neural network; Logistic Regression; Parameterized quantum circuit</t>
  </si>
  <si>
    <t xml:space="preserve">Cross-validation; Held-out test</t>
  </si>
  <si>
    <t xml:space="preserve">The QNN achieved a test accuracy of 0.732, F1 score of 0.581, and ROC-AUC of 0.833.</t>
  </si>
  <si>
    <t xml:space="preserve">Journal of the Korean Physical Society</t>
  </si>
  <si>
    <t>https://doi.org/10.1007/s40042-026-01581-0</t>
  </si>
  <si>
    <t>https://www.scopus.com/pages/publications/105029439655?origin=resultslist</t>
  </si>
  <si>
    <t xml:space="preserve">Quantum Enhanced Machine Learning for Unobtrusive Stress Monitoring</t>
  </si>
  <si>
    <t xml:space="preserve">SVM/SVR; QSVM; VQC; kNN</t>
  </si>
  <si>
    <t xml:space="preserve">Experimental results show that for the current dataset, QSVM model with PCA on heart rate variability and skin conductance data results in highest accuracy of 0.8.</t>
  </si>
  <si>
    <t xml:space="preserve">ACM International Conference Proceeding Series</t>
  </si>
  <si>
    <t>https://doi.org/10.1145/3549206.3549288</t>
  </si>
  <si>
    <t>https://www.scopus.com/pages/publications/85141128599?origin=resultslist</t>
  </si>
  <si>
    <t xml:space="preserve">Drug Target Interaction prediction using Variational Quantum classifier</t>
  </si>
  <si>
    <t xml:space="preserve">Drug–target / compound–protein interaction</t>
  </si>
  <si>
    <t>KIBA</t>
  </si>
  <si>
    <t xml:space="preserve">VQC; Linear Regression</t>
  </si>
  <si>
    <t xml:space="preserve">This performance surpasses that of linear regression technique (kronLRS), which has a concordance index of 0.68 and is comparable to deep learning methods, such as DeepCPI and DeepDTA, which have a CI of 0.86.</t>
  </si>
  <si>
    <t xml:space="preserve">4th International Conference on Next Generation Computing Applications, NextComp 2024 - Proceedings</t>
  </si>
  <si>
    <t>https://doi.org/10.1109/NextComp63004.2024.10779674</t>
  </si>
  <si>
    <t>https://www.scopus.com/pages/publications/85215133591?origin=resultslist</t>
  </si>
  <si>
    <t xml:space="preserve">A Comparative Analysis of Quantum and Classical Algorithms for Heart Disease Prediction</t>
  </si>
  <si>
    <t xml:space="preserve">SVM/SVR; QSVM; VQC; Parameterized quantum circuit</t>
  </si>
  <si>
    <t xml:space="preserve">The SVM and QSVM achieves the accuracy of 80% and 69% and VQC achieves the highest accuracy of 86% with ZFeatureMap and RealAmplitude in 100 iterations.</t>
  </si>
  <si>
    <t xml:space="preserve">International Conference on Distributed Systems, Computer Networks and Cybersecurity, ICDSCNC 2024</t>
  </si>
  <si>
    <t>https://doi.org/10.1109/ICDSCNC62492.2024.10939990</t>
  </si>
  <si>
    <t>https://www.scopus.com/pages/publications/105002896103?origin=resultslist</t>
  </si>
  <si>
    <t xml:space="preserve">Predicting toxicity by quantum machine learning</t>
  </si>
  <si>
    <t xml:space="preserve">Linear Regression; Parameterized quantum circuit</t>
  </si>
  <si>
    <t xml:space="preserve">Furthermore, our simulations indicate that theQMLmodels were comparable to those obtained using radial basis function networks, while improving the generalization performance.</t>
  </si>
  <si>
    <t xml:space="preserve">Journal of Physics Communications</t>
  </si>
  <si>
    <t>https://doi.org/10.1088/2399-6528/abd3d8</t>
  </si>
  <si>
    <t>https://www.scopus.com/pages/publications/85123277533?origin=resultslist</t>
  </si>
  <si>
    <t xml:space="preserve">Performance of Quantum Annealing Machine Learning Classification Models on ADMET Datasets</t>
  </si>
  <si>
    <t xml:space="preserve">SVM/SVR; QSVM; Quantum annealing; QBoost</t>
  </si>
  <si>
    <t>https://doi.org/10.1109/ACCESS.2025.3531391</t>
  </si>
  <si>
    <t>https://www.scopus.com/pages/publications/85215930592?origin=resultslist</t>
  </si>
  <si>
    <t xml:space="preserve">QKDTI A quantum kernel based machine learning model for drug target interaction prediction</t>
  </si>
  <si>
    <t xml:space="preserve">Molecular descriptors; Quantum feature map</t>
  </si>
  <si>
    <t xml:space="preserve">Recent advancements in Quantum Machine Learning (QML) are paving the way for its practical applications, unlocking unprecedented capabilities in predictive accuracy, scalability, and efficiency by leveraging the unique powers of quantum computing, namely superposition and entanglement.</t>
  </si>
  <si>
    <t>https://doi.org/10.1038/s41598-025-07303-z</t>
  </si>
  <si>
    <t>https://www.scopus.com/pages/publications/105011719948?origin=resultslist</t>
  </si>
  <si>
    <t xml:space="preserve">Deep molecular representation in cheminformatics</t>
  </si>
  <si>
    <t xml:space="preserve">Smart Innovation, Systems and Technologies</t>
  </si>
  <si>
    <t>https://doi.org/10.1007/978-3-030-11479-4_8</t>
  </si>
  <si>
    <t>https://www.scopus.com/pages/publications/85062914518?origin=resultslist</t>
  </si>
  <si>
    <t xml:space="preserve">A hybrid quantum regression model for the prediction of molecular atomization energies</t>
  </si>
  <si>
    <t xml:space="preserve">Coulomb matrix</t>
  </si>
  <si>
    <t xml:space="preserve">XGBoost; QNN; CNN; Neural network; Linear Regression; Quantum regression</t>
  </si>
  <si>
    <t>https://doi.org/10.1088/2632-2153/abd486</t>
  </si>
  <si>
    <t>https://www.scopus.com/pages/publications/85103559924?origin=resultslist</t>
  </si>
  <si>
    <t xml:space="preserve">Quantum-Embedded Graph Neural Network Architecture for Molecular Property Prediction</t>
  </si>
  <si>
    <t xml:space="preserve">Molecular graphs; Molecular graphs / GNN representation; Quantum feature map</t>
  </si>
  <si>
    <t xml:space="preserve">Experiments conducted on three benchmark data sets with diverse molecular property prediction tasks demonstrate that QEGNN models consistently achieve higher accuracy, improved stability, and significantly reduced parameter complexity─hallmarks of quantum advantage.</t>
  </si>
  <si>
    <t>https://doi.org/10.1021/acs.jcim.5c01019</t>
  </si>
  <si>
    <t>https://www.scopus.com/pages/publications/105013383107?origin=resultslist</t>
  </si>
  <si>
    <t xml:space="preserve">Quantum Intelligent Systems and Deep Learning</t>
  </si>
  <si>
    <t xml:space="preserve">SVM/SVR; QSVM; VQC; QNN; Neural network; Parameterized quantum circuit</t>
  </si>
  <si>
    <t xml:space="preserve">Evolution and Applications of Quantum Computing</t>
  </si>
  <si>
    <t>https://doi.org/10.1002/9781119905172.ch18</t>
  </si>
  <si>
    <t>https://www.scopus.com/pages/publications/85164982402?origin=resultslist</t>
  </si>
  <si>
    <t xml:space="preserve">Support vector machine regression (LS-SVM)-an alternative to artificial neural networks (ANNs) for the analysis of quantum chemistry data?</t>
  </si>
  <si>
    <t xml:space="preserve">Molecular descriptors; 3D molecular information; HOMO–LUMO descriptors</t>
  </si>
  <si>
    <t xml:space="preserve">Today, the ANN method and linear regression (MLR) model are widely used for quantum chemistry (QC) data analysis (e.g., thermochemistry) to improve their accuracy (e.g., Gaussian G2-G4, B3LYP/B3-LYP, X1, or W1 theoretical methods).</t>
  </si>
  <si>
    <t>https://doi.org/10.1039/c1cp00051a</t>
  </si>
  <si>
    <t>https://www.scopus.com/pages/publications/79959480027?origin=resultslist</t>
  </si>
  <si>
    <t xml:space="preserve">Comparative Study of Classical and Quantum Machine Learning Models: Insights into Quantum Advantage in Materials Informatics</t>
  </si>
  <si>
    <t xml:space="preserve">000 crystalline compounds</t>
  </si>
  <si>
    <t xml:space="preserve">Repeated stratified evaluation</t>
  </si>
  <si>
    <t xml:space="preserve">Results show that the classical SVM achieves the highest accuracy (91.8% ± 0.012), followed by QSVM (60.8% ± 0.035), while VQC and QNN perform significantly worse.</t>
  </si>
  <si>
    <t xml:space="preserve">Advance Sustainable Science, Engineering and Technology</t>
  </si>
  <si>
    <t>https://doi.org/10.26877/asset.v8i2.2733</t>
  </si>
  <si>
    <t>https://www.scopus.com/pages/publications/105039279278?origin=resultslist</t>
  </si>
  <si>
    <t xml:space="preserve">Robust evaluation of classical and quantum machine learning under noise, imbalance, feature reduction and explainability</t>
  </si>
  <si>
    <t xml:space="preserve">Random Forest; SVM/SVR; VQC; Logistic Regression; Linear Regression</t>
  </si>
  <si>
    <t>https://doi.org/10.1038/s41598-025-28412-9</t>
  </si>
  <si>
    <t>https://www.scopus.com/pages/publications/105026442308?origin=resultslist</t>
  </si>
  <si>
    <t xml:space="preserve">Quantum support vector machines for classification and regression on a trapped-ion quantum computer</t>
  </si>
  <si>
    <t xml:space="preserve">SVM/SVR; QSVM; QSVC; Quantum kernel; Parameterized quantum circuit</t>
  </si>
  <si>
    <t xml:space="preserve">For the classification tasks, the performance of our QSVC models using 4 qubits of the trapped-ion quantum computer was comparable to that obtained from noiseless quantum circuit simulations.</t>
  </si>
  <si>
    <t>https://doi.org/10.1007/s42484-024-00165-0</t>
  </si>
  <si>
    <t>https://www.scopus.com/pages/publications/85193500084?origin=resultslist</t>
  </si>
  <si>
    <t xml:space="preserve">Quantum inspired genetic programming model to predict toxicity degree for chemical compounds</t>
  </si>
  <si>
    <t xml:space="preserve">State-of-the-art prediction methods such as neural network and multi-layer regression that requires either tuning parameters or complex transformations of predictor or outcome variables are not achieving high accuracy results.</t>
  </si>
  <si>
    <t xml:space="preserve">International Journal of Artificial Intelligence</t>
  </si>
  <si>
    <t>https://doi.org/10.29099/IJAIR.V2I2.64</t>
  </si>
  <si>
    <t>https://www.scopus.com/pages/publications/85115266496?origin=resultslist</t>
  </si>
  <si>
    <t>2003</t>
  </si>
  <si>
    <t xml:space="preserve">QSAR study of ethyl 2-[(3-methyl-2,5-dioxo(3-pyrrolinyl))amino]-4-(trifluoromethyl) pyrimidine-5-carboxylate: An inhibitor of Ap-1 and NF-/κB mediated gene expression based on support vector machines</t>
  </si>
  <si>
    <t xml:space="preserve">Journal of Chemical Information and Computer Sciences</t>
  </si>
  <si>
    <t>https://doi.org/10.1021/ci0340355</t>
  </si>
  <si>
    <t>https://www.scopus.com/pages/publications/0043201408?origin=resultslist</t>
  </si>
  <si>
    <t xml:space="preserve">Performance Evaluation of Quantum and Classical Machine-Learning Models for Breast Cancer Diagnosis</t>
  </si>
  <si>
    <t xml:space="preserve">Our methodology involves implementing and comparing these models based on precision, recall, F1-score, and accuracy metrics.</t>
  </si>
  <si>
    <t>https://doi.org/10.1007/978-981-97-0573-3_33</t>
  </si>
  <si>
    <t>https://www.scopus.com/pages/publications/85201016498?origin=resultslist</t>
  </si>
  <si>
    <t xml:space="preserve">An enhanced approach for predicting air pollution using quantum support vector machine</t>
  </si>
  <si>
    <t xml:space="preserve">To compare the execution time and accuracy of conventional SVM classification to that of quantum SVM classification, the appropriate quantum features for mapping need to be selected.</t>
  </si>
  <si>
    <t>https://doi.org/10.1038/s41598-024-69663-2</t>
  </si>
  <si>
    <t>https://www.scopus.com/pages/publications/85202036311?origin=resultslist</t>
  </si>
  <si>
    <t xml:space="preserve">Quantum Machine Learning for Prediction of Compound-Protein Interactions in Drug Discovery</t>
  </si>
  <si>
    <t xml:space="preserve">052 compounds</t>
  </si>
  <si>
    <t xml:space="preserve">Random Forest; SVM/SVR; kNN</t>
  </si>
  <si>
    <t xml:space="preserve">The quantum SVM model introduced above provides higher accuracy and better processing time compared to the quantum computing principles of q-features, q-kernels and classical models.</t>
  </si>
  <si>
    <t xml:space="preserve">2024 12th International Conference on Intelligent Systems and Embedded Design, ISED 2024</t>
  </si>
  <si>
    <t>https://doi.org/10.1109/ISED63599.2024.10956316</t>
  </si>
  <si>
    <t>https://www.scopus.com/pages/publications/105003911614?origin=resultslist</t>
  </si>
  <si>
    <t xml:space="preserve">PointGAT: A Quantum Chemical Property Prediction Model Integrating Graph Attention and 3D Geometry</t>
  </si>
  <si>
    <t xml:space="preserve">Molecular graphs; Molecular graphs / GNN representation; 3D molecular information</t>
  </si>
  <si>
    <t xml:space="preserve">Comparison with other current models in molecular prediction tasks showed that PointGAT could provide higher predictive accuracy in various benchmark data sets from MoleculeNet, including ESOL, FreeSolv, Lipop, HIV, and 6 out of 12 tasks of the QM9 data set.</t>
  </si>
  <si>
    <t xml:space="preserve">Journal of Chemical Theory and Computation</t>
  </si>
  <si>
    <t>https://doi.org/10.1021/acs.jctc.3c01420</t>
  </si>
  <si>
    <t>https://www.scopus.com/pages/publications/85192799332?origin=resultslist</t>
  </si>
  <si>
    <t xml:space="preserve">Quantum kernel estimation-based quantum support vector regression</t>
  </si>
  <si>
    <t xml:space="preserve">Researchers have now developed quantum support vector classifiers and substantiated their potential for accelerating computation and enhancing classification accuracy in practical contexts through experimentation.</t>
  </si>
  <si>
    <t>https://doi.org/10.1007/s11128-023-04231-7</t>
  </si>
  <si>
    <t>https://www.scopus.com/pages/publications/85182852710?origin=resultslist</t>
  </si>
  <si>
    <t xml:space="preserve">Overlap / duplicate analysis across the three Scopus searches</t>
  </si>
  <si>
    <t>Metric</t>
  </si>
  <si>
    <t>Count</t>
  </si>
  <si>
    <t>Overlap</t>
  </si>
  <si>
    <t>Papers</t>
  </si>
  <si>
    <t xml:space="preserve">Raw search hits</t>
  </si>
  <si>
    <t xml:space="preserve">Bee toxicity ML ↔ Molecular toxicity ML</t>
  </si>
  <si>
    <t xml:space="preserve">Unique papers after deduplication</t>
  </si>
  <si>
    <t xml:space="preserve">Bee toxicity ML ↔ QML molecular</t>
  </si>
  <si>
    <t xml:space="preserve">Unique papers repeated across searches</t>
  </si>
  <si>
    <t xml:space="preserve">Molecular toxicity ML ↔ QML molecular</t>
  </si>
  <si>
    <t xml:space="preserve">Duplicate excess hits removed</t>
  </si>
  <si>
    <t xml:space="preserve">All three searches</t>
  </si>
  <si>
    <t xml:space="preserve">Papers appearing in all three searches</t>
  </si>
  <si>
    <t xml:space="preserve">All papers repeated between the searches</t>
  </si>
  <si>
    <t xml:space="preserve">Occurrences / searches</t>
  </si>
  <si>
    <t xml:space="preserve">Appears in</t>
  </si>
  <si>
    <t>EID</t>
  </si>
  <si>
    <t>2-s2.0-105014545066</t>
  </si>
  <si>
    <t>2-s2.0-105030933470</t>
  </si>
  <si>
    <t>2-s2.0-85203458932</t>
  </si>
  <si>
    <t>2-s2.0-85071324022</t>
  </si>
  <si>
    <t>2-s2.0-85163448577</t>
  </si>
  <si>
    <t>2-s2.0-105030159313</t>
  </si>
  <si>
    <t>2-s2.0-105027095275</t>
  </si>
  <si>
    <t>2-s2.0-105033707008</t>
  </si>
  <si>
    <t>2-s2.0-85078107817</t>
  </si>
  <si>
    <t>2-s2.0-105026149047</t>
  </si>
  <si>
    <t>2-s2.0-105039775493</t>
  </si>
  <si>
    <t>2-s2.0-105027494742</t>
  </si>
  <si>
    <t>2-s2.0-105016759455</t>
  </si>
  <si>
    <t>2-s2.0-86000347183</t>
  </si>
  <si>
    <t>2-s2.0-85071052153</t>
  </si>
  <si>
    <t>2-s2.0-85211587432</t>
  </si>
  <si>
    <t>2-s2.0-105023188025</t>
  </si>
  <si>
    <t>2-s2.0-85078166227</t>
  </si>
  <si>
    <t xml:space="preserve">Scopus — ApisTox related work: three-query literature screening</t>
  </si>
  <si>
    <t xml:space="preserve">Bee toxicity ML hits</t>
  </si>
  <si>
    <t xml:space="preserve">Molecular toxicity ML hits</t>
  </si>
  <si>
    <t xml:space="preserve">QML molecular hits</t>
  </si>
  <si>
    <t xml:space="preserve">Raw hits across all searches</t>
  </si>
  <si>
    <t xml:space="preserve">Total unique</t>
  </si>
  <si>
    <t xml:space="preserve">Unique papers</t>
  </si>
  <si>
    <t xml:space="preserve">Repeated unique papers</t>
  </si>
  <si>
    <t xml:space="preserve">Main takeaways from the combined Scopus corpus</t>
  </si>
  <si>
    <t>1.</t>
  </si>
  <si>
    <t xml:space="preserve">The three searches are complementary.</t>
  </si>
  <si>
    <t xml:space="preserve">The bee-specific search captures direct endpoint literature and biological context; the molecular-toxicity search supplies transferable classical ML methodology; the QML search supplies the quantum comparison literature.</t>
  </si>
  <si>
    <t>2.</t>
  </si>
  <si>
    <t xml:space="preserve">The overlap is small.</t>
  </si>
  <si>
    <t xml:space="preserve">Only 18 unique papers are repeated across searches, and all observed overlap is between the two classical searches; the QML export contributes a distinct literature branch.</t>
  </si>
  <si>
    <t>3.</t>
  </si>
  <si>
    <t xml:space="preserve">Direct bee-toxicity ML is already diverse.</t>
  </si>
  <si>
    <t xml:space="preserve">The corpus includes QSAR/QSTR, kNN, SVM/graph kernels, Random Forest-style workflows, GNNs, pretrained/deep models, multimodal approaches and recent ApisTox-based work.</t>
  </si>
  <si>
    <t>4.</t>
  </si>
  <si>
    <t xml:space="preserve">The classical improvement space is broader than model swapping.</t>
  </si>
  <si>
    <t xml:space="preserve">Useful transferable themes include molecular representation, applicability domain, external validation, activity cliffs, explainability, multimodal/consensus learning and chemical-space generalization.</t>
  </si>
  <si>
    <t>5.</t>
  </si>
  <si>
    <t xml:space="preserve">Quantum literature must be screened carefully.</t>
  </si>
  <si>
    <t xml:space="preserve">Actual QML, quantum-inspired algorithms, and classical ML using quantum-chemical descriptors are different categories and should not be merged when making novelty or quantum-advantage claims.</t>
  </si>
  <si>
    <t xml:space="preserve">Suggested first reads from the combined set</t>
  </si>
  <si>
    <t>Paper</t>
  </si>
  <si>
    <t>Relevance</t>
  </si>
  <si>
    <t xml:space="preserve">Why read it first?</t>
  </si>
  <si>
    <t xml:space="preserve">Method note</t>
  </si>
  <si>
    <t xml:space="preserve">This workbook combines only the three supplied Scopus CSV exports. The Screening sheet is deduplicated using DOI first, then Scopus EID, then normalized title when needed. All 281 original search hits are preserved in the 'All search hits' sheet. First-pass screening and extracted method fields use only title, abstract, keywords and metadata present in those exports; they should be manually confirmed from full text before final inclusion in a manuscript. 'Core' means directly relevant to honey-bee toxicity ML/QSAR, transferable molecular toxicity/ecotoxicity ML, or actual QML applied to molecular/toxicity/property prediction. 'Supporting' includes problem-context toxicology, general QML methodology, quantum-inspired methods, and quantum-chemistry-based classical modeling. NR means the detail was not reported in the supplied metadata and was not guessed.</t>
  </si>
  <si>
    <t xml:space="preserve">Second-stage reading triage</t>
  </si>
  <si>
    <t xml:space="preserve">Reading tier</t>
  </si>
  <si>
    <t xml:space="preserve">Workflow: broad Scopus retrieval → deduplication → title/abstract/keyword screening (Core / Supporting / Exclude) → stronger five-criterion triage → curated Tier A full-text shortlist. See 'Screening process', 'Stage 2 triage', and 'Read First'.</t>
  </si>
  <si>
    <t xml:space="preserve">A — Must read</t>
  </si>
  <si>
    <t xml:space="preserve">B — Targeted skim</t>
  </si>
  <si>
    <t xml:space="preserve">C — Background only</t>
  </si>
  <si>
    <t xml:space="preserve">Total retained after Stage 1</t>
  </si>
  <si>
    <t xml:space="preserve">Scopus search strings used for the three literature branches</t>
  </si>
  <si>
    <t xml:space="preserve">Search corpus</t>
  </si>
  <si>
    <t>Purpose</t>
  </si>
  <si>
    <t xml:space="preserve">Scopus results</t>
  </si>
  <si>
    <t xml:space="preserve">Query string</t>
  </si>
  <si>
    <t xml:space="preserve">Direct related work on honey-bee toxicity and in-silico / ML / QSAR modeling</t>
  </si>
  <si>
    <t xml:space="preserve">TITLE-ABS-KEY(
    ("honey bee" OR honeybee OR "Apis mellifera")
    AND (toxicity OR ecotoxicity)
    AND ("in silico" OR QSAR OR "machine learning" OR "deep learning")
)</t>
  </si>
  <si>
    <t xml:space="preserve">Transferable classical ML methods for molecular toxicity / ecotoxicity</t>
  </si>
  <si>
    <t xml:space="preserve">TITLE-ABS-KEY(
    (toxicity OR ecotoxicity OR ADMET)
    AND (QSAR OR "machine learning" OR "deep learning")
    AND ("molecular fingerprint" OR "molecular descriptor" OR "molecular graph")
)</t>
  </si>
  <si>
    <t xml:space="preserve">Quantum ML and quantum-computing prior art for toxicity / ADMET / molecular property prediction</t>
  </si>
  <si>
    <t xml:space="preserve">TITLE-ABS-KEY(
    ("quantum machine learning"
     OR "quantum kernel"
     OR "quantum support vector machine"
     OR "variational quantum classifier"
     OR "quantum neural network")
    AND
    (toxicity OR ADMET OR "molecular property prediction")
)</t>
  </si>
  <si>
    <t xml:space="preserve">Search #</t>
  </si>
  <si>
    <t>Authors</t>
  </si>
  <si>
    <t xml:space="preserve">Cited by</t>
  </si>
  <si>
    <t xml:space="preserve">Document Type</t>
  </si>
  <si>
    <t xml:space="preserve">Open Access</t>
  </si>
  <si>
    <t>Abstract</t>
  </si>
  <si>
    <t xml:space="preserve">Hamadache M.; Benkortbi O.; Hanini S.; Amrane A.</t>
  </si>
  <si>
    <t>54</t>
  </si>
  <si>
    <t>Article</t>
  </si>
  <si>
    <t xml:space="preserve">Despite their indisputable importance around the world, the pesticides can be dangerous for a range of species of ecological importance such as honeybees (Apis mellifera L.). Thus, a particular attention should be paid to their protection, not only for their ecological importance by contributing to the maintenance of wild plant diversity, but also for their economic value as honey producers and crop-pollinating agents. For all these reasons, the environmental protection requires the resort of risk assessment of pesticides. The goal of this work was therefore to develop a validated QSAR model to predict contact acute toxicity (LD50) of 111 pesticides to bees because the QSAR models devoted to this species are very scarce. The analysis of the statistical parameters of this model and those published in the literature shows that our model is more efficient. The QSAR model was assessed according to the OECD principles for the validation of QSAR models. The calculated values for the internal and external validation statistic parameters (Q2 and rm2¯) are greater than 0.85. In addition to this validation, a mathematical equation derived from the ANN model was used to predict the LD50 of 20 other pesticides. A good correlation between predicted and experimental values was found (R2 = 0.97 and RMSE = 0.14). As a result, this equation could be a means of predicting the toxicity of new pesticides. © 2017, Springer-Verlag GmbH Germany.</t>
  </si>
  <si>
    <t xml:space="preserve">Prajapati G.; Dixit U.; Aggarwal H.</t>
  </si>
  <si>
    <t>0</t>
  </si>
  <si>
    <t xml:space="preserve">Book chapter</t>
  </si>
  <si>
    <t xml:space="preserve">In the fields of chemical safety, regulatory toxicology, and drug development, toxicity prediction models are essential. The goal of this research is to use sophisticated machine learning and molecular descriptors, physicochemical characteristics, and structural fingerprints to create a dependable in silico model for predicting acute toxicity, hepatotoxicity, and mutagenicity. The model’s interpretability was enhanced through the use of feature selection approaches and a varied dataset comprising both private and public chemical structures. High accuracy and generalizability were validated by external testing and cross-validation. The model provided a scalable, economical toxicity screening method that outperformed current techniques. Deep learning and transfer learning will be used in future research to improve predictions. © 2026 CRC Press.</t>
  </si>
  <si>
    <t xml:space="preserve">Tabaaza G.A.; Tackie-Otoo B.N.; Zaini D.B.; Otchere D.A.; Lal B.</t>
  </si>
  <si>
    <t>20</t>
  </si>
  <si>
    <t xml:space="preserve">Ionic Liquids (ILs) are considered greener alternatives to traditional organic solvents due to their unique physical and chemical properties. Nevertheless, recent studies showed that ILs can induce toxic effects in ecosystem. Therefore, it is essential to determine the level of risk to the aquatic life to successfully use these ILs. Toxicity measurement of various ILs on a broad spectrum of conditions through experimental techniques is way demanding on time, resources, and is at times impractical. Various research works have been performed in Quantitative Property Relationship (QSAR/QSPR) for IL toxicity prediction expressed as EC50. In this study, five supervised machine learning models were trained and tested using nine Principal Properties (PPs) as descriptors to predict leukemia rat cell line (IPC-81) cytotoxicity. Then eight feature selection techniques were used to preprocess the data to improve the performance of the best machine learning model among the preliminary trained models. Analysis of the performance of the models on predicting the out-of-sample data set showed that the Extreme Gradient Boosting (XGBoost) supervised machine learning model is the best in predicting with the highest test score (R2 = 0.79). This model was the most parsimonious (minimum AIC of 46.50), consistent (minimum RMSE of 0.45), and precise (minimum MAE of 0.32) in predicting IPC-81 cytotoxicity. The feature importance attribute of XGBoost confirmed that the structural features of ILs’ cation like cationic hydrophilicity and the side chain length have significant impact on the toxicity. Nevertheless, the anionic part of IL is also important to their toxicity and needs to be considered in toxicity prediction. Among the tested feature selection techniques, the random forest technique was the best in improving model performance (i.e., the least error matrices: AIC = 41.22, MAE = 0.31 and RMSE = 0.4259 respectively) but at longer execution time. However, the wrapper methods were the most robust in improving computational efficiency (i.e, improved the model performance at the shortest execution time). Therefore, this study improves QSPR studies on toxicity prediction of new ILs with the application of machine learning and feature selection techniques. © 2023</t>
  </si>
  <si>
    <t xml:space="preserve">Hesketh H.; Lahive E.; Horton A.A.; Robinson A.G.; Svendsen C.; Rortais A.; Dorne J.-L.; Baas J.; Spurgeon D.J.; Heard M.S.</t>
  </si>
  <si>
    <t>33</t>
  </si>
  <si>
    <t xml:space="preserve">Concern over reported honeybee (Apis mellifera spp.) losses has highlighted chemical exposure as a risk. Current laboratory oral toxicity tests in A. mellifera spp. use short-term, maximum 96 hour, exposures which may not necessarily account for chronic and cumulative toxicity. Here, we use extended 240 hour (10 day) exposures to examine seven agrochemicals and trace environmental pollutant toxicities for adult honeybees. Data were used to parameterise a dynamic energy budget model (DEBtox) to further examine potential survival effects up to 30 day and 90 day summer and winter worker lifespans. Honeybees were most sensitive to insecticides (clothianidin &gt; dimethoate ≫ tau-fluvalinate), then trace metals/metalloids (cadmium, arsenic), followed by the fungicide propiconazole and herbicide 2,4-dichlorophenoxyacetic acid (2,4-D). LC50 s calculated from DEBtox parameters indicated a 27 fold change comparing exposure from 48 to 720 hours (summer worker lifespan) for cadmium, as the most time-dependent chemical as driven by slow toxicokinetics. Clothianidin and dimethoate exhibited more rapid toxicokinetics with 48 to 720 hour LC50 s changes of &lt;4 fold. As effects from long-term exposure may exceed those measured in short-term tests, future regulatory tests should extend to 96 hours as standard, with extension to 240 hour exposures further improving realism. © The Author(s) 2016.</t>
  </si>
  <si>
    <t xml:space="preserve">Pandey V.</t>
  </si>
  <si>
    <t>1</t>
  </si>
  <si>
    <t xml:space="preserve">Ecotoxicological risk assessments form the foundation of regulatory decisions for industrial chemicals used in various sectors. In this study, a multi-target-QSAR model established by a backpropagation neural network trained with the Levenberg-Marquardt (LM) algorithm was used to construct a statistically robust and easily interpretable Mt-QSAR model with high external predictability for the simultaneous prediction of the environmental fate in form of octanol-water partition coefficient (LogP), (BCF) and acute oral toxicity in mammals and birds (LD50rat) and (LD50bird) for a wide range of chemical structural classes of insecticides. Principal component analysis was performed on descriptors selected by the SW-MLR method, and the selected PCs were used for constructing the SW-MLR-PCA-ANN model. The developed well-trained model (RMSE=0.83, MPE=0.004, CCC=0.82, IIC=0.78, R2=0.69) was statistically robust as indicated by the external validation parameters (RMSE=0.93, MPE=0.008, CCC=0.77, IIC=0.68, R2=0.61). The AD of the developed Mt-QSAR model was also defined to identify the most reliable predictions. Finally, the missing values in the dataset for the aforementioned targets were predicted using the constructed Mt-QSAR model. The proposed approach can be used for simultaneous prediction of the environmental fate of new insecticides, especially ones that haven′t been tested yet. © 2023 Wiley-VHCA AG, Zurich, Switzerland.</t>
  </si>
  <si>
    <t xml:space="preserve">Zhang F.; Wang Z.; Peijnenburg W.J.G.M.; Vijver M.G.</t>
  </si>
  <si>
    <t>52</t>
  </si>
  <si>
    <t xml:space="preserve">Research on theoretical prediction methods for the mixture toxicity of engineered nanoparticles (ENPs) faces significant challenges. The application of in silico methods based on machine learning is emerging as an effective strategy to address the toxicity prediction of chemical mixtures. Herein, we combined toxicity data generated in our lab with experimental data reported in the literature to predict the combined toxicity of seven metallic ENPs for Escherichia coli at different mixing ratios (22 binary combinations). We thereafter applied two machine learning (ML) techniques, support vector machine (SVM) and neural network (NN), and compared the differences in the ability to predict the combined toxicity by means of the ML-based methods and two component-based mixture models: independent action and concentration addition. Among 72 developed quantitative structure–activity relationship (QSAR) models by the ML methods, two SVM-QSAR models and two NN-QSAR models showed good performance. Moreover, an NN-based QSAR model combined with two molecular descriptors, namely enthalpy of formation of a gaseous cation and metal oxide standard molar enthalpy of formation, showed the best predictive power for the internal dataset (R2test = 0.911, adjusted R2test = 0.733, RMSEtest = 0.091, and MAEtest = 0.067) and for the combination of internal and external datasets (R2test = 0.908, adjusted R2test = 0.871, RMSEtest = 0.255, and MAEtest = 0.181). In addition, the developed QSAR models performed better than the component-based models. The estimation of the applicability domain of the selected QSAR models showed that all the binary mixtures in training and test sets were in the applicability domain. This study approach could provide a methodological and theoretical basis for the ecological risk assessment of mixtures of ENPs. © 2023 The Author(s)</t>
  </si>
  <si>
    <t xml:space="preserve">Lv L.; Chen L.; Suo Y.; Wang D.; Mao L.; Cang T.; Wang Y.; Liu X.</t>
  </si>
  <si>
    <t xml:space="preserve">Sulfoximine insecticide sulfoxaflor (SUL) and imidazole fungicide prochloraz (PRO) are frequently applied together or in succession in crops pollinated by honey bees. However, the mechanisms underlying their joint toxic risk remain poorly characterized. To address this gap, our study investigated the biochemical and molecular responses of Apis mellifera following co-exposure to SUL and PRO. The results revealed that the pesticide mixture elicited pronounced synergistic acute toxicity in honey bees. This toxic effect was accompanied by marked disturbances in the activities of catalase (CAT), caspase-3 (CASP-3), α-amylase (α-AMS), and trypsin, as well as significant alterations in the expressions of crucial genes, including nAChRα2 , vtg , and CRBXase . These genes are associated with oxidative stress regulation, apoptotic signaling, neural and digestive functions, detoxification, and longevity pathways. Our findings provided compelling evidence that the interactive effects of SUL and PRO amplified physiological stress in honey bees, leading to heightened biochemical and transcriptional disruptions. The interaction-based hazard index (HIint) was employed to robustly characterize potential synergistic effects arising from pesticide mixtures, thereby enabling a more precise and realistic environmental risk assessment of combined exposure to SUL and PRO. This study offered important mechanistic insights into the risks posed by pesticide combinations and highlighted the urgent need to reassess current regulatory practices. By elucidating the sub-lethal and synergistic impacts of commonly co-applied pesticides, our research supported the formulation of more comprehensive policies aimed at protecting pollinator health and preserving ecological balance. © 2026 Elsevier Inc.</t>
  </si>
  <si>
    <t xml:space="preserve">He Q.; Jin B.; Yang Z.; Li H.; Xu H.; Cui J.; Wang Z.; Lee P.W.; Chio E.H.; Shao B.; Cao L.; Zhang X.; Zhang L.</t>
  </si>
  <si>
    <t xml:space="preserve">Honeybees (Apis mellifera) play a crucial role in crop pollination; however, their population is decreasing owing to pesticide exposure. Understanding the mechanisms underlying pesticide toxicity and accurately predicting toxicity to honeybees are essential for developing sustainable agrochemicals and effective ecological risk management strategies. Herein, we developed a multi-dimensional evaluation strategy combining mode of action (MOA), structural analysis, and artificial intelligence (AI)–powered prediction (BeeMSAI) to analyze the toxicity of pesticides to honeybees. First, an MOA-based classification system was established for pesticides, which were divided into 46 MOAs and 9 physiological systems. Second, toxicity classification rules were established for six high-variability structural groups. Six representative structures with a toxicity probability of &gt; 97.8 % were identified through fragment analysis. Third, a series of ternary classification AI models for predicting pesticide toxicity to honeybees was developed through multi-feature fusion. The support vector machine model showed robust predictive performance with an overall accuracy of 81.82 %, with the accuracy for neonicotinoids and new pesticides being 84.21 % and 80.77 %, respectively. Furthermore, an online user-friendly platform was developed to assess agrochemical risks, achieving a recall level approximately 35 % higher than that of existing online platforms. Overall, this study introduces a multi-dimensional strategy for assessing pesticide toxicity to honeybees, providing insights for developing ecologically safe agrochemicals. © 2026 Elsevier B.V.</t>
  </si>
  <si>
    <t xml:space="preserve">Kotzabasaki M.I.; Sotiropoulos I.; Sarimveis H.</t>
  </si>
  <si>
    <t>31</t>
  </si>
  <si>
    <t xml:space="preserve">The use of in silico approaches for the prediction of biomedical properties of nano-biomaterials (NBMs) can play a significant role in guiding and reducing wetlab experiments. Computational methods, such as data mining and machine learning techniques, can increase the efficiency and reduce the time and cost required for hazard and risk assesment and for designing new safer NBMs. A major obstacle in developing accurate and well-validated in silico models such as Nano Quantitative Structure-Activity Relationships (Nano-QSARs) is that although the volume of data published in the literature is increasing, the data are fragmented in many different publications and are not sufficiently curated for modelling purposes. Moreover, NBMs exhibit high complexity and heterogeneity in their structures, making data collection and curation and QSAR model development more challenging compared to traditional small molecules. The aim of this study was to construct and fully validate a Nano-QSAR model for the prediction of toxicological properties of superparamagnetic iron oxide nanoparticles (SPIONs), focusing on their application as Magnetic Resonance Imaging (MRI) contrast agents for non-invasive stem cell labelling and tracking. To achieve this goal, we first performed an extensive search through the literature for collecting and curating relevant data and we developed a dataset containing both physicochemical and toxicological properties of SPIONs. The data were analysed next, using Automated machine learning (Auto-ML) approaches for optimising the development and validation of nanotoxicity classification QSAR models of SPIONs. Further analysis of relative attribute importances revealed that physicochemical properties such as the size and the magnetic core are the dominant attributes correlated to the toxicity of SPIONs. Our results suggest that as more systematic information from NBM experimental tests becomes available, computational tools could play an important role in supporting the safety-by-design (SbD) concept in regenerative medicine and disease therapeutics. This journal is © The Royal Society of Chemistry.</t>
  </si>
  <si>
    <t xml:space="preserve">Oviya I.R.; Chowdary S.M.; Rishitha M.; Garapati M.; Madhumita K.; Verma R.; Dharshini R.; Rajan A.</t>
  </si>
  <si>
    <t xml:space="preserve">Conference paper</t>
  </si>
  <si>
    <t xml:space="preserve">Aquatic ecosystems, plants, biodiversity are affected by various hazardous pollutants such as PCBs, dioxins, PFAS, mercury and heavy metals etc.. Excessive levels of these pollutants can significantly disrupt ecosystem growth and development, posing a serious threat to biodiversity and increasing the risk of its decline or collapse. Traditional methods to measure toxicity of various contaminants which are present in environment are time consuming, expensive and are also not capable of predicting delayed environmental effects. We are introducing machine learning computational methods to overcome all the limitations of existing methods and predicting the toxicity of chemical based on its molecular structure. We evaluated chemical toxicity using four distinct models which are Self-Organizing Neural Networks (SNN), k-Nearest Neighbors (KNN), Support Vector Machines (SVM), and Random Forest (RF). The models achieved accuracies of 69%, 80%, 71%, and 96% respectively, highlighting the superior performance of the Random Forest approach when compared with other traditional models. While the hybrid model, combining RF, KNN, SVM was identified as most effective model and achieved the highest accuracy of 97%. These models are trained and tested using real time toxicity datasets to evaluate the prediction capabilities. The findings show that machine learning algorithms can effectively generate fast and accurate toxicity predictions, which play a crucial role in controlling environmental risks and regulating harmful pollutants.  © 2025 IEEE.</t>
  </si>
  <si>
    <t xml:space="preserve">Takata M.; Lin B.-L.; Xue M.; Zushi Y.; Terada A.; Hosomi M.</t>
  </si>
  <si>
    <t>43</t>
  </si>
  <si>
    <t xml:space="preserve">Accurate in silico predictions of chemical substance ecotoxicity has become an important issue in recent years. Most conventional methods, such as the Ecological Structure-Activity Relationship (ECOSAR) model, cluster chemical substances empirically based on structural information and then predict toxicity by employing a log P linear regression model. Due to empirical classification, the prediction accuracy does not improve even if new ecotoxicity test data are added. In addition, most of the conventional methods are not appropriate for predicting the ecotoxicity on inorganic and/or ionized compounds. Furthermore, a user faces difficulty in handling multiple Quantitative Structure-Activity Relationship (QSAR) formulas with one chemical substance. To overcome the flaws of the conventional methods, in this study a new method was developed that applied unsupervised machine learning and graph theory to predict acute ecotoxicity. The proposed machine learning technique is based on the large AIST-MeRAM ecotoxicity test dataset, a software program developed by the National Institute of Advanced Industry Science and Technology for Multi-purpose Ecological Risk Assessment and Management, and the Molecular ACCess System (MACCS) keys that vectorize a chemical structure to 166-bit binary information. The acute toxicity of fish, daphnids, and algae can be predicted with good accuracy, without requiring log P and linear regression models in existing methods. Results from the new method were cross-validated and compared with ECOSAR predictions and show that the new method provides better accuracy for a wider range of chemical substances, including inorganic and ionized compounds. © 2019 Elsevier Ltd</t>
  </si>
  <si>
    <t xml:space="preserve">Gini G.; Zanoli F.; Gamba A.; Raitano G.; Benfenati E.</t>
  </si>
  <si>
    <t>36</t>
  </si>
  <si>
    <t xml:space="preserve">Assessing chemical toxicity is a multidisciplinary process, traditionally involving in vivo, in vitro and in silico tests. Currently, toxicological goal is to reduce new tests on chemicals, exploiting all information yet available. Recent advancements in machine learning and deep neural networks allow computers to automatically mine patterns and learn from data. This technology, applied to (Q)SAR model development, leads to discover by learning the structural-chemical-biological relationships and the emergent properties. Starting from Toxception, a deep neural network predicting activity from the chemical graph image, we designed SmilesNet, a recurrent neural network taking SMILES as the only input. We then integrated the two networks into C-Tox network to make the final classification. Results of our networks, trained on a ~20K molecule dataset with Ames test experimental values, match or even outperform the current state of the art. We also extract knowledge from the networks and compare it with the available mutagenic structural alerts. The advantage over traditional QSAR modelling is that our models automatically extract the features without using descriptors. Nevertheless, the model is successful if large numbers of examples are provided and computation is more complex than in classical methods. © 2019, © 2019 Informa UK Limited, trading as Taylor &amp; Francis Group.</t>
  </si>
  <si>
    <t xml:space="preserve">Capuzzi S.J.; Politi R.; Isayev O.; Farag S.; Tropsha A.</t>
  </si>
  <si>
    <t>81</t>
  </si>
  <si>
    <t xml:space="preserve">The ability to determine which environmental chemicals pose the greatest potential threats to human health remains one of the major concerns in regulatory toxicology. Computational methods that can accurately predict a chemical's toxic potential in silico are increasingly sought-after to replace in vitro high-throughput screening (HTS) as well as controversial and costly in vivo animal studies. To this end, we have built Quantitative Structure-Activity Relationship (QSAR) models of 12 stress response and nuclear receptor signaling pathways toxicity assays as part of the 2014 Tox21 Challenge. Our models were built using the Random Forest, Deep Neural Networks and various combinations of descriptors and balancing protocols. All of our models were statistically significant for each of the 12 assays with the balanced accuracy in the range between 0.58 and 0.82. Our results also show that models built with Deep Neural Networks had higher accuracy than those developed with simple machine learning algorithms and that dataset balancing led to a significant accuracy decrease. © 2016 Capuzzi, Politi, Isayev, Farag and Tropsha.</t>
  </si>
  <si>
    <t xml:space="preserve">Carnesecchi E.; Toropov A.A.; Toropova A.P.; Kramer N.; Svendsen C.; Dorne J.L.; Benfenati E.</t>
  </si>
  <si>
    <t>50</t>
  </si>
  <si>
    <t xml:space="preserve">Pollinators such as honey bees are of considerable importance, because of the crucial pollination services they provide for food crops and wild plants. Since bees are exposed to a wide range of multiple chemicals “mixtures” both of anthropogenic (e.g. plant protection products) and natural origin (e.g. plant toxins), understanding their combined toxicity is critical. Although honey bees are employed worldwide as surrogate species for Apis and non-Apis bees in toxicity tests, it is practically unfeasible to perform in vivo tests for all mixtures of chemicals. Therefore, Quantitative Structure-Activity Relationships (QSAR) models can be developed using available data and can provide useful tools to predict such combined toxicity. Here, three different QSAR models within the CORAL software have been calibrated and validated for honey bees (A. mellifera) to predict the acute contact mixtures potency (LD50-mix), in two regression based-models, and the nature of combined toxicity (synergism / non-synergism) in a classification-based model. Experimental data on binary mixtures (n = 123) (LD50-mix) including dose response data (n = 97) and corresponding Toxic Unit values were retrieved from EFSA databases. The models were built using the principle of extraction of attributes from SMILES (or quasi-SMILES) while calculating so-called correlation weights for these attributes using Monte Carlo techniques. The two regression models were validated for their reliability and robustness (R2 = 0.89, CCC = 0.92, Q2 = 0.81; R2 = 0.87, CCC = 0.89, Q2 = 0.75). The classification model was validated using sensitivity (=0.86), specificity (=1), accuracy (=0.96), and Matthews correlation coefficient (MCC = 0.90) as qualitative statistical validation parameters. Results indicate that these QSAR models successfully predict acute contact toxicity of binary mixtures in honey bees and can support prioritisation of multiple chemicals of concerns. Data gaps and further development of QSAR models for honey bees are highlighted particularly for chronic and sub-lethal effects. © 2019 Elsevier B.V.</t>
  </si>
  <si>
    <t xml:space="preserve">Olivares-Pinto U.; Alaux C.; Le Conte Y.; Crauser D.; Prado A.</t>
  </si>
  <si>
    <t>7</t>
  </si>
  <si>
    <t xml:space="preserve">Automatic monitoring devices placed at the entrances of honey bee hives have facilitated the detection of various sublethal effects related to pesticide exposure, such as homing failure and reduced flight activity. These devices have further demonstrated that different neurotoxic pesticide molecules produce similar sublethal impacts on flight activity. The detection of these effects was conducted a posteriori, following the recording of flight activity data. This study introduces a method using an artificial intelligence model, specifically a recurrent neural network, to detect the sublethal effects of pesticides in real-time based on honey bee flight activity. This model was trained on a flight activity dataset comprising 42,092 flight records from 1107 control and 1689 pesticide-exposed bees. The model was able to classify honey bees as healthy or pesticide-exposed based on the number of flights and minutes spent foraging per day. The model was the least accurate (68.46%) when only five days of records per bee were used for training. However, the highest classification accuracy of 99%, a Cohen Kappa of 0.9766, a precision of 0.99, a recall of 0.99, and an F1-score of 0.99 was achieved with the model trained on 25 days of activity data, signifying near-perfect classification ability. These results underscore the highly predictive performance of AI models for toxicovigilance and highlight the potential of our approach for real-time and cost-effective monitoring of risks due to exposure to neurotoxic pesticide in honey bee populations. © 2023</t>
  </si>
  <si>
    <t xml:space="preserve">Khan M.Z.I.; Ren J.-N.; Cao C.; Ye H.-Y.-X.; Wang H.; Guo Y.-M.; Yang J.-R.; Chen J.-Z.</t>
  </si>
  <si>
    <t>19</t>
  </si>
  <si>
    <t xml:space="preserve">Background: Chemicals may lead to acute liver injuries, posing a serious threat to human health. Achieving the precise safety profile of a compound is challenging due to the complex and expensive testing procedures. In silico approaches will aid in identifying the potential risk of drug candidates in the initial stage of drug development and thus mitigating the developmental cost. Methods: In current studies, QSAR models were developed for hepatotoxicity predictions using the ensemble strategy to integrate machine learning (ML) and deep learning (DL) algorithms using various molecular features. A large dataset of 2588 chemicals and drugs was randomly divided into training (80%) and test (20%) sets, followed by the training of individual base models using diverse machine learning or deep learning based on three different kinds of descriptors and fingerprints. Feature selection approaches were employed to proceed with model optimizations based on the model performance. Hybrid ensemble approaches were further utilized to determine the method with the best performance. Results: The voting ensemble classifier emerged as the optimal model, achieving an excellent prediction accuracy of 80.26%, AUC of 82.84%, and recall of over 93% followed by bagging and stacking ensemble classifiers method. The model was further verified by an external test set, internal 10-fold cross-validation, and rigorous benchmark training, exhibiting much better reliability than the published models. Conclusion: The proposed ensemble model offers a dependable assessment with a good performance for the prediction regarding the risk of chemicals and drugs to induce liver damage. Copyright © 2024 Khan, Ren, Cao, Ye, Wang, Guo, Yang and Chen.</t>
  </si>
  <si>
    <t xml:space="preserve">Lou X.; Cai J.; Un C.-W.; Siu S.W.I.</t>
  </si>
  <si>
    <t xml:space="preserve">Regulating chemicals to protect the environment based on ecotoxicological assessments is a major challenge. However, experimental ecotoxicity tests are time-consuming and expensive, which underscores the need for accurate prediction methods. In this study, we conducted a comprehensive analysis on the application of machine learning and graph-based learning techniques for the ecotoxicological prediction of chemicals. A total of 161 models were constructed using a combination of three molecular representations (Morgan, MACCS, and Mol2vec), six machine learning algorithms (KNN, NB, RF, SVM, XGB, and DNN), and five graph neural networks (GAT, GCN, MPNN, Attentive FP, and FPGNN). In predicting the ecotoxicity of three aquatic taxonomic groups – fish, crustaceans, and algae – GCN achieved the best performance overall. In the same-species predictions, GCN models achieved the highest values of area under the ROC curve (AUC), ranging between 0.982 and 0.992. In cross-species predictions, GAT and GCN achieved the best and second-best performance, respectively. However, both models exhibited a reduction of approximately 17% in AUC values when predicting the fish group while being trained on the same chemical data for the crustaceans and algae groups. Interestingly, cross-species predictions for unseen chemicals are only better off by DNN with the MACCS fingerprint, yielding an AUC of 0.821. Our findings underscore the critical need to further advance computational prediction methods in order to accurately predict the ecotoxicity of chemicals across species. The ecotoxicology prediction web server for fish, algae, and crustaceans is accessible at https://app.cbbio.online/ecotoxicology/home. © 2025 The Authors. Published by American Chemical Society</t>
  </si>
  <si>
    <t xml:space="preserve">Liu Y.; Fu R.; Xue Y.; Li M.; Wang X.</t>
  </si>
  <si>
    <t xml:space="preserve">Soil organic pollution threatens the integrity of ecosystems. Traditional ecotoxicity assessments face data scarcity and are also limited by linear models. This study developed a machine learning-quantitative structure-activity relationship (ML-QSAR) model, which integrated 2108 toxicity data points (77 species, 305 compounds) and incorporated molecular descriptors derived from density functional theory (DFT). The ecological thresholds were derived via species sensitivity distribution (SSD). The results indicated that the Random Forest (RF) algorithm outperformed XGBoost and CatBoost, with a training/test R2 of 0.968/0.824. The external validation showed that 95.9% of the predictions error were within 1.5-fold error. Global feature analysis identified entropy, dipole moment ( μ ), and soil moisture as core driving features. Entropy regulated toxicity via a threshold effect of 744.5 J/(mol·K), and it increased toxicity by 2.3 times in low entropy ranges. There is a significant interaction between dipole moment ( μ ) and soil moisture. The toxicity increased by 2.3 times under combined conditions of μ &gt; 4.4 Debye and soil moisture &gt;31.7%. Toxicity is modulated by the interaction of soil silt content and 22 parameters. The goodness-of-fit value of the SSD curve constructed from model predictions exceeded 0.91. The derived ecological safety threshold (PNEC) for dinitrotoluene was 5.498 mg/kg, which is far lower than that for anthracene oil, hexabromocyclododecane, and perfluorooctanoic acid, and is therefore considered the highest risk pollutant. This framework overcomes linear limitations of traditional QSAR models, and provides a high-throughput tool for soil contaminant risk screening. © 2026 Elsevier Ltd.</t>
  </si>
  <si>
    <t xml:space="preserve">Baloch M.; Hussain A.; Naqvi S.K.H.; Shahzad K.; Chawraba K.; Mehmood T.; Mahmood A.; Park S.H.</t>
  </si>
  <si>
    <t>4</t>
  </si>
  <si>
    <t xml:space="preserve">Environmental pollution and its associated health risks are escalating globally, emphasizing the need for effective monitoring strategies. Biomonitoring, which utilizes living organisms and their products, offers a reliable means of assessing ecosystem contamination. This study, the first of its kind in Pakistan, used honey as an indicator to evaluate airborne organic pollutant burdens in the ecologically diverse Bhakkar District of Punjab. Out of 34 honey samples collected, 30 were found to be contaminated, based on matches with the NIST GC-MS spectral library. Organic pollutants were extracted using the QuEChERS method and analyzed via GC-MS, with validation through FTIR and UV-Vis spectroscopy. The detected compounds included systemic toxins, carcinogens, mutagens, ecotoxins, and neurotoxins. Health Risk Index (HRI) assessments revealed significant potential health hazards. To predict HRI values and identify contributing factors, supervised machine learning (ML) models were developed and optimized using the Optuna framework, with the Categorical Boosting (CatBoost) model achieving the highest predictive accuracy (R2 = 91.31%, RMSE = 0.125, MAE = 0.079). Model interpretability through Shapley Additive Explanations (SHAP) analysis indicated that the octanol-water partition coefficient (Log KOW), absolute concentration, and relative concentration were the most influential features driving pollutant bioaccumulation and associated health risks. These findings highlight a concerning level of organic pollution in the region, likely linked to intensive agrochemical use, and establish honey as a cost-effective and reliable indicator for environmental monitoring in rural settings.  © 2025 Elsevier Ltd.</t>
  </si>
  <si>
    <t xml:space="preserve">Caliani I.; Campani T.; Conti B.; Cosci F.; Bedini S.; D'Agostino A.; Ammendola A.; Di Noi A.; Gori A.; Casini S.</t>
  </si>
  <si>
    <t>56</t>
  </si>
  <si>
    <t xml:space="preserve">The honeybee, Apis mellifera L. (Hymenoptera: Apidae), a keystone pollinator of wild plant species and agricultural crops, is disappearing globally due to parasites and diseases, habitat loss, genetic constraints, beekeeper management issues and to the widespread use of pesticides. Besides insecticides, widely studied in this species, honeybees are also exposed to herbicides and fungicides and heavy metals whose lethal and sublethal effects need to be investigated. In this context, our study aimed to evaluate the effects of fungicides and of heavy metals on honeybees and to develop and apply a multi-biomarker approach that include an Integrated Biological Index (IBRv2) to assess the toxicological status of this species. Biomarkers of neurotoxicity (AChE and CaE), metabolic alteration (ALP, and GST) and immune system (LYS, granulocytes) were measured, following honeybees’ exposure to cadmium or to a crop fungicide, using the genotoxic compound EMS as positive control. A biomarker of genotoxicity (NA assay) was developed and applied for the first time in honeybees. At the doses tested, all the contaminants showed sublethal toxicity to the bees, highlighting in particular genotoxic effects. The data collected were analyzed by an IBRv2 index, which integrated the seven biomarkers used in this study. IBRv2 index increased with increasing cadmium or fungicide concentrations. The IBRv2 represents a simple tool for a general description of honeybees ecotoxicological health status. Results highlight the need for more in-depth investigations on the effects of fungicides on non-target organisms, such as honeybees, using sensitive methods for the determination of sublethal effects. This study contributes to the development of a multi-biomarker approach to be used for a more accurate ecotoxicological environmental monitoring of these animals. © 2020 The Authors</t>
  </si>
  <si>
    <t xml:space="preserve">Naccari V.; Trevisi G.; Naccari C.; Ferrara G.; Bava R.; Palma E.</t>
  </si>
  <si>
    <t xml:space="preserve">The decline of honey bees is a global problem that affects beekeeping farms worldwide caused by several factors, such as pests, pathogen agents, intensive use of pesticides, etc. Although new classes of safer pesticides have been developed (pyrethrins and pyrethroids, neonicotinoids, pesticides of microbial origin, etc.), honey bees may be easily poisoned when they feed on contaminated nectar or pollen. This toxicological report describes a case of the poisoning of honey bees, Apis mellifera, due to the use of Spinosad, a natural insecticide of microbial origin found among other pesticides commonly used in agricultural practice, and underlines the severity of poisoning due to colony losses, with a significant presence of dead and dying adult bees. The clinical inspection conducted in the beekeeping farm admitted to exclude bee death due to various pathogen agents (parasites, fungi, and bacteria). Subsequently, the chromatographic analysis of pesticides, carried out on both honey bees and honeycomb samples, confirmed the presence of significant concentrations of Spinosad in bees (2.6 mg/kg), responsible for their poisoning, and in honeycomb (0.095 mg/kg), with residual levels &gt; MRL, established by EU regulation for honey and honey bee products. This investigation underlines the high toxicity of Spinosad on A. mellifera, used often in pesticide mixtures or associations, and the risk for this pollinator species, used as a valid bioindicator of environmental pollution. For this reason, more specific Legislative Recommendations UE are needed on the use of Spinosad, particularly in binary and ternary pesticide associations, employed in agricultural practice, to protect honey bee safety and, at the same time, to prevent environmental pollution. © 2024 International Bee Research Association.</t>
  </si>
  <si>
    <t xml:space="preserve">Nursyafi F.S.; Pramudito M.A.; Nur Fuadah Y.; Lim K.M.</t>
  </si>
  <si>
    <t>2</t>
  </si>
  <si>
    <t xml:space="preserve">Accurate toxicity assessment is essential for chemical safety, but experimental testing is costly, slow, and ethically constrained, motivating the adoption of computational approaches such as quantitative structure–activity relationship (QSAR). However, many QSAR models still rely on a single descriptor type or algorithm and relatively small, endpoint‑specific datasets, which limits robustness, interpretability, and broader applicability. To overcome these limitations, this study develops an interpretable multi‑modality consensus QSAR framework that integrates multiple molecular representations with both machine learning (ML) and deep learning to predict eight mechanistically diverse toxicity endpoints–skin sensitization, respiratory toxicity, AMES mutagenicity, hepatotoxicity, developmental toxicity, cardiotoxicity, drug‑induced nephrotoxicity, and neurotoxicity–across 30 160 unique compounds. Models for each descriptor–algorithm combination were optimized using 10-fold cross-validation, and top-performing models were combined into weighted multi-modality consensus predictors based on cross-validated area under the receiver operating characteristic curve (AUC) weights. Across all endpoints, multi-modality consensus models consistently achieved moderate to excellent performance on unseen and external sets (AUC 0.80–0.99, balanced accuracy (BACC) 0.76–0.90). DeLong’s test confirmed that multi-modality consensus models outperformed the best individual models, with significant AUC improvements (p &lt; 0.05) in seven of eight endpoints. Chemical space and applicability domain analyses demonstrated broad coverage of diverse compounds, with in-domain predictions consistently achieving higher and more stable performance, while SHapley Additive exPlanations (SHAP) analysis highlighted global features and mechanistic-level motifs, supporting the model’s biological plausibility and reliability. Overall, this multi-modality consensus framework provides a reliability aware and interpretable approach for broad-spectrum toxicity prediction and multi-endpoint chemical safety assessment. © 2026 Informa UK Limited, trading as Taylor &amp; Francis Group.</t>
  </si>
  <si>
    <t xml:space="preserve">Berte E.A.; Paloschi C.L.; Domanski F.R.; Vismara E.D.S.; Tolfo E.F.; Ribeiro L.D.S.; Mertz N.R.; Pereira V.A.; Oliveira S.Z.D.; Abati R.; Costa F.M.; Lozano da Silva E.R.; Potrich M.</t>
  </si>
  <si>
    <t xml:space="preserve">Africanized honey bee Apis mellifera is a social insect that plays a vital role in agriculture and the economy through pollination, an essential ecosystem service, and the production of several bee products. However, the sharp decline in honey bee colonies, often associated with Colony Collapse Disorder (CCD), especially due to the indiscriminate use of pesticides, represents a significant threat to ecosystems and global food security. Among the alternatives under investigation to replace synthetic pesticides, essential oils or botanical insecticides stand out, although the effects on A. mellifera remain poorly understood and require further studies. This study evaluated the toxicity of essential oils from Eugenia uniflora and Pogostemon cablin on forager bees of known age (K) and unknown age (U). Three bioassays were conducted at a concentration of 0.75 % (v/v): (1) direct contact on treated surfaces; (2) spraying on bees; (3) Ingestion of food with essential oil; and analysis of flight behavior. Essential oils significantly reduced bee survival over 12 h, with more lethal effects in the group exposed to E. uniflora oil. They negatively affected flight behavior (vertical movement and recovery free fall). The toxic effects were evident regardless of honey bee age or exposure method, highlighting that although botanical insecticides are often considered safer alternatives to synthetic products, they can still pose substantial risks to pollinators. This study provides important information on pollinator conservation and may inform future regulations on botanical pesticides and guide safer integrated pest management (IPM) strategies, promoting a balance between pest control and biodiversity protection. © 2025 Korean Society of Applied Entomology</t>
  </si>
  <si>
    <t xml:space="preserve">Adamczyk J.; Poziemski J.; Siedlecki P.</t>
  </si>
  <si>
    <t xml:space="preserve">Small molecules play a critical role in the biomedical, environmental, and agrochemical domains, each with distinct physicochemical requirements and success criteria. Although biomedical research benefits from extensive datasets and established benchmarks, agrochemical data remain scarce, particularly with respect to species-specific toxicity. This work focuses on ApisTox, the most comprehensive dataset of experimentally validated chemical toxicity to the honey bee (Apis mellifera), an ecologically vital pollinator. The primary goal of this study was to determine the suitability of diverse machine learning approaches for modeling such toxicity, including molecular fingerprints, graph kernels, and graph neural networks, as well as pretrained models. Comparative analysis with medicinal datasets from the MoleculeNet benchmark reveals that ApisTox represents a distinct chemical space. Performance degradation on non-medicinal datasets, such as ApisTox, demonstrates their limited generalizability of current state-of-the-art algorithms trained solely on biomedical data. Our study highlights the need for more diverse datasets and for targeted model development geared towards the agrochemical domain. © 2026 Academic Press. All rights reserved.</t>
  </si>
  <si>
    <t xml:space="preserve">Como F.; Carnesecchi E.; Volani S.; Dorne J.L.; Richardson J.; Bassan A.; Pavan M.; Benfenati E.</t>
  </si>
  <si>
    <t>57</t>
  </si>
  <si>
    <t xml:space="preserve">Ecological risk assessment of plant protection products (PPPs) requires an understanding of both the toxicity and the extent of exposure to assess risks for a range of taxa of ecological importance including target and non-target species. Non-target species such as honey bees (Apis mellifera), solitary bees and bumble bees are of utmost importance because of their vital ecological services as pollinators of wild plants and crops. To improve risk assessment of PPPs in bee species, computational models predicting the acute and chronic toxicity of a range of PPPs and contaminants can play a major role in providing structural and physico-chemical properties for the prioritisation of compounds of concern and future risk assessments. Over the last three decades, scientific advisory bodies and the research community have developed toxicological databases and quantitative structure-activity relationship (QSAR) models that are proving invaluable to predict toxicity using historical data and reduce animal testing. This paper describes the development and validation of a k-Nearest Neighbor (k-NN) model using in-house software for the prediction of acute contact toxicity of pesticides on honey bees. Acute contact toxicity data were collected from different sources for 256 pesticides, which were divided into training and test sets. The k-NN models were validated with good prediction, with an accuracy of 70% for all compounds and of 65% for highly toxic compounds, suggesting that they might reliably predict the toxicity of structurally diverse pesticides and could be used to screen and prioritise new pesticides. © 2016 Elsevier Ltd</t>
  </si>
  <si>
    <t xml:space="preserve">Sharifi M.; Harwood G.P.; Harris M.; Patel D.M.; Collison E.; Lunsman T.</t>
  </si>
  <si>
    <t>6</t>
  </si>
  <si>
    <t xml:space="preserve">In the realm of crop protection products, ensuring the safety of pollinators stands as a pivotal aspect of advancing sustainable solutions. Extensive research has been dedicated to this crucial topic as well as new approach methodologies in toxicity testing. Hence, within the agricultural and chemical industries, prioritizing pollinator safety remains a constant objective during the development of predictive tools. One of these tools includes computational models like quantitative structure-activity relationships (QSARs) that are valuable in predicting the toxicity of chemicals. This research uses bee toxicity data to develop artificial neural network classification models for predicting honey bee acute toxicity. Bee toxicity data from 1542 compounds were used to develop models; the sensitivity and specificity of the best model were 0.90 and 0.91, respectively. These in silico models can aid in the discovery of next-generation crop protection products. These tools can guide the screening and selection of next-generation crop protection molecules with high margins of safety to pollinators, and candidates with favorable sustainability profiles can be identified at the early discovery stage as precursors to in vivo data generation. © 2024 American Chemical Society.</t>
  </si>
  <si>
    <t xml:space="preserve">Li Y.; Fu G.-L.; Zhang L.-Y.; Chen T.-M.; Wang Q.; Ding C.</t>
  </si>
  <si>
    <t xml:space="preserve">Toxicity assessment plays a crucial role in protecting aquatic ecosystems. Organic pollutants in water bodies directly threaten the diversity of aquatic organisms. Rapid screening of toxicity can be achieved through calculation methods, providing support for the regulatory priority of hazardous compounds and facilitating further experimental verification work in the future. Although classic machine learning methods have shown potential in toxicity prediction, their limitations - including reliance on manual feature engineering, poor generalization ability in different chemical spaces, and sensitivity to data noise - have reduced their reliability in practical applications. To address these challenges, advanced models capable of automating feature learning, enhancing generalizability, and providing mechanistic insights are urgently needed to improve both predictive accuracy and interpretability in aquatic toxicity identification. In this study, we propose an integrated framework that combines four machine learning algorithms, namely K-Nearest Neighbors, Support Vector Machines, Extreme Gradient Boosting, and Random Forests, along with the AttentiveFP graphical neural network model, termed ML-DL-ens, for toxicity identification. The weights of the ML-DL-ens model were optimized using a particle swarm optimization (PSO) algorithm to enhance the accuracy of predictions regarding the aquatic toxicity of organic compounds. The results showed that our ML-DL-ens model demonstrated superior performance on multiple data sets, with AUC-ROC values of 0.8951, 0.9404, 0.8934, and 0.8871 in the 96 h LC50 set, 40 h IGC50 set, 48 h LC50-DM set, and Combined set, respectively, which achieved a state-of-the-art performance on toxicity prediction that is better than the performance of any single model and the other integrated methods. In addition, the SHAP value analysis and graphical representation ensure that it can provide insights into the key molecular substructures affecting toxicity predictions. Overall, the ML-DL-ens is a promising framework to improve prediction accuracy and toxicity identification. © 2026 The Author(s)</t>
  </si>
  <si>
    <t xml:space="preserve">Yang P.; Henle E.A.; Fern X.Z.; Simon C.M.</t>
  </si>
  <si>
    <t>11</t>
  </si>
  <si>
    <t xml:space="preserve">Pesticides benefit agriculture by increasing crop yield, quality, and security. However, pesticides may inadvertently harm bees, which are valuable as pollinators. Thus, candidate pesticides in development pipelines must be assessed for toxicity to bees. Leveraging a dataset of 382 molecules with toxicity labels from honey bee exposure experiments, we train a support vector machine (SVM) to predict the toxicity of pesticides to honey bees. We compare two representations of the pesticide molecules: (i) a random walk feature vector listing counts of length-L walks on the molecular graph with each vertex- and edge-label sequence and (ii) the Molecular ACCess System (MACCS) structural key fingerprint (FP), a bit vector indicating the presence/absence of a list of pre-defined subgraph patterns in the molecular graph. We explicitly construct the MACCS FPs but rely on the fixed-length-L random walk graph kernel (RWGK) in place of the dot product for the random walk representation. The L-RWGK-SVM achieves an accuracy, precision, recall, and F1 score (mean over 2000 runs) of 0.81, 0.68, 0.71, and 0.69, respectively, on the test data set - with L = 4 being the mode optimal walk length. The MACCS-FP-SVM performs on par/marginally better than the L-RWGK-SVM, lends more interpretability, but varies more in performance. We interpret the MACCS-FP-SVM by illuminating which subgraph patterns in the molecules tend to strongly push them toward the toxic/non-toxic side of the separating hyperplane.  © 2022 Author(s).</t>
  </si>
  <si>
    <t xml:space="preserve">Speck-Planche A.</t>
  </si>
  <si>
    <t>15</t>
  </si>
  <si>
    <t xml:space="preserve">Pesticides are chemical or biological agents, whose ultimate purpose is to eradicate pests, thus preventing crop losses by protecting the plants from multiple diseases. Despite the importance of their use, pesticides constitute a focus of serious concern because of their harmful effects on the environment. In silico approaches have played a key role in diminishing time and financial resources when assessing the ecotoxicity of the pesticides. While many models based on quantitative structure-activity relationships (QSARs) have been reported to predict specific ecotoxicological endpoints, to date, there is no model capable of simultaneously predicting the ecotoxicological profiles of the pesticides under a wide spectrum of experimental conditions. This book chapter introduces for the first time a multi-scale QSAR model able to assess the ecotoxicity of the pesticides by considering different measures of ecotoxic effects, many bioindicator species, several different assay guidelines, and the multiple times during which the bioindicator species have been exposed to the pesticides. The multi-scale QSAR model correctly classified/predicted more than 75% of the data in both training and test sets. By interpreting different molecular descriptors in the models, this work offers the first view regarding the physicochemical properties and structural features that are common for the appearance of multiple ecotoxic effects in any chemical used as a pesticide. Finally, several molecular fragments are suggested as substructural features that can positively contribute to the diminution of the ecotoxic potential of pesticides. © Springer Science+Business Media, LLC, part of Springer Nature 2020.</t>
  </si>
  <si>
    <t xml:space="preserve">Di Noi A.; Caliani I.; Vitale M.; Campani T.; D'Agostino A.; Cai G.; Romi M.; Casini S.</t>
  </si>
  <si>
    <t xml:space="preserve">Honey bees (Apis mellifera) are essential pollinators currently facing global declines driven by the interaction of multiple stressors, including habitat fragmentation, climate change, diseases, invasive species acting as predators, and exposure to anthropogenic contaminants. While laboratory studies have extensively explored these factors, field-based assessments of cumulative sublethal effects remain limited. Biomarkers represent sensitive methodologies for identifying early-warning signals of physiological impairment before population-level declines occur. In this study, we evaluated the ecotoxicological health status of honey bee adults across ten locations in Tuscany (Italy) with varying degrees of anthropogenic impact, including high-naturality sites (wood and wildflower field), agricultural areas (orchard, vineyards, olive grove, berries field, wheat crop and clover field), and urban sites. Sampling was conducted over two consecutive years (2020–2021) to account for inter-annual climatic variations. A multi-biomarker approach was applied to assess neurotoxicity (acethylcolinesterase and carboxylesterase activities), detoxification and metabolism (glutathione S-transferase and alkaline phosphatase), immune response (lysozyme activity and haemocyte counts), and genotoxicity (Nuclear Abnormalities assay). The results demonstrated that biomarker responses are significantly modulated by land use (p &lt; 0.05). Clearer signs of physiological disturbance consistently emerged in anthropized sites, whereas the areas with a high degree of naturality exhibited comparatively lower biomarker values. These findings highlight that climatic conditions influenced the sublethal responses observed in organisms. However, multiple stressors, besides climate-related ones, should be taken into account for a more complete evaluation of honey bees’ ecotoxicological status in a field scenario. © 2026 The Authors</t>
  </si>
  <si>
    <t xml:space="preserve">Mahtal B.E.D.N.; Laidi M.; Rahal S.; Hentabli M.; Hamadache M.</t>
  </si>
  <si>
    <t>5</t>
  </si>
  <si>
    <t xml:space="preserve">This study investigates the application of advanced machine learning and deep learning techniques to predict the acute oral toxicity (LC50) of 200 pesticides on Oncorhynchus mykiss (Rainbow Trout) using Quantitative Structure-Activity Relationship (QSAR) approach. A Support Vector Machine technique optimized with the Dragonfly Algorithm (DA-SVM) was used to model LC50. Two independent molecular feature types were used: 208 molecular descriptors and 1024 Morgan molecular fingerprints, generated using RDKit and the selected features were optimized via Genetic Algorithm and Convolutional Neural Networks (CNNs) methodologies. three models were developed namely Model 1: GA-DA SVMr used with 19 descriptors, model 2: CNN-MLP used with 64 features from descriptors, and model 3: CNN-DA SVMr used with 72 optimized features derived from Morgan fingerprints). Model 3 presents the best performance by achieving high predictive global accuracy in terms of RMSE of 0.1755, R² of 0.9860, AARD of 2.9765% and MAE of 0.0590. Results show the superiority and the potential of Morgan molecular fingerprints over traditional descriptors. This study highlights the potential of integrating advanced machine learning techniques and molecular feature selection for ecotoxicological assessments. © The Tunisian Chemical Society and Springer Nature Switzerland AG 2025.</t>
  </si>
  <si>
    <t xml:space="preserve">Valeriano A.P.; Bondaug F.G.; Ebardo I.P.; Banda M.H.T.; Almonte P.P.; Sabugaa M.A.P.; Bagnol J.R.V.; Latayada M.J.R.; Macalalag J.M.R.; Paradero B.D.; Mayes M.L.; Balanay M.P.; Alguno A.C.; Capangpangan R.Y.</t>
  </si>
  <si>
    <t xml:space="preserve">Nanomaterials (NMs) have been widely used in various sectors in recent years, which has prompted efforts to solve the difficulties in synthesizing safe-by-design NMs. The toxicity of NMs can be investigated by in silico approaches, which employ machine learning (ML) algorithms to develop quantitative structure-activity relationship (QSAR) models. If built correctly, these models can predict NMs' toxicity with the highest accuracy and reliability. As such, this study aimed to develop several QSAR models that predict the cytotoxicity level of various engineered NMs. Partial least squares discriminant analysis (PLS-DA), random forest (RF), decision trees (DT), and k-nearest neighbors (kNN) were used to develop the QSAR models. Consequently, during internal and external validation, the models achieved F1 scores ranging from 91.03 ̶ 95.23% and 90.52 ̶ 95.19%. Additionally, all models identified exposure time and concentration as highly influential descriptors. Moreover, data clustering based on the most significant descriptors further enhanced the performance of the models, particularly when clustered based on the condition “concentration &lt; 31 μg/ml”. As a result, all models achieved slightly over 95% F1 scores upon internal and external validation. These results imply that the developed QSAR models are highly accurate and reliable. © 2025 by the authors.</t>
  </si>
  <si>
    <t xml:space="preserve">Xu J.; Ren T.; Chen S.; Li F.; Zhang N.; Zhao L.; Zhong R.; Sun G.</t>
  </si>
  <si>
    <t xml:space="preserve">The integration of life cycle thinking into the earliest stages of drug discovery is imperative to mitigate the significant environmental footprint of pharmaceutical research and development. Conventional approaches, which rely heavily on resource-intensive synthesis and animal testing of numerous compounds, are inherently unsustainable. Herein, we demonstrate how the adoption of in silico strategies can serve as a powerful green chemistry lever to address this challenge. We present a high-throughput computational workflow employing interpretable quantitative structure–activity relationship (QSAR), quantitative read-across (q-RASAR), and machine learning (ML) models to accurately predict the acute oral toxicity of six types of drug scaffolds. The State-of-the-Art (SOTA) algorithms including several deep learning (DL) methods were also explored for global modeling of all scaffolds. The developed models achieved robust predictive performance, with external validation coefficients (Rtest2) ranging from 0.7674 to 0.8980 across different scaffolds. This framework, rigorously developed and validated on a data set of 1150 compounds, was applied to virtually screen over 23,000 untested molecules. By enabling the prioritization of low-toxicity leads and the elimination of hazardous candidates prior to synthesis, our approach directly minimizes the demand for chemical reagents, solvents, and energy-intensive laboratory processes, thereby reducing waste generation and carbon emissions at the source. Concurrently, it substantially reduces the reliance on animal testing, aligning with the 3Rs principles. The analysis of structure–toxicity relationships further guides the de novo design of safer chemicals. Notably, a life cycle-oriented estimate indicates that this predictive strategy could potentially yield approximately $238 million in direct R&amp;D cost avoidance and prevent 5000–10,000 t of CO2-equivalent emissions. This work establishes a paradigm shift toward a more sustainable drug discovery ecosystem, where computational prediction proactively circumvents the environmental and ethical costs embedded in the traditional research life cycle. © 2026 American Chemical Society</t>
  </si>
  <si>
    <t xml:space="preserve">Asilar E.; Hemmerich J.; Ecker G.F.</t>
  </si>
  <si>
    <t>25</t>
  </si>
  <si>
    <t xml:space="preserve">The drugs we use to cure our diseases can cause damage to the liver as it is the primary organ responsible for metabolism of environmental chemicals and drugs. To identify and eliminate potentially problematic drug candidates in the early stages of drug discovery, in silico techniques provide quick and practical solutions for toxicity determination. Deep learning has emerged as one of the solutions in recent years in the field of pharmaceutical chemistry. Generally, in the case of small data sets as used in toxicology, these data-hungry algorithms are prone to overfitting. We approach the problem from two sides. First, we use images of the three-dimensional conformations and benefit from convolutional neural networks which have fewer parameters than the standard deep neural networks with similar depth. Using images allows connecting various chemical features to the geometry of the compounds. Second, we employ the method COVER to up-sample the data set. It is used not only for increasing the size of the data set, but also for balancing the two classes, i.e., toxic and not toxic. The proof of concept is performed on the p53 end point from the Tox21 data set. The results, which are compatible with the winners of the data challenge, encouraged us to use our methods to predict liver toxicity. We use the most extensive publicly available liver toxicity data set by Mulliner et al. and obtain a sensitivity of 0.79 and a specificity of 0.52. These results demonstrate the applicability of image based toxicity prediction using deep neural networks. © 2020 American Chemical Society.</t>
  </si>
  <si>
    <t xml:space="preserve">Damião T.C.; de Oliveira Neto R.F.; de Alencar Filho E.B.</t>
  </si>
  <si>
    <t xml:space="preserve">Accurate prediction of chemical toxicity is essential for environmental risk assessment and the protection of non-target organisms, such as pollinators. In this study, a Graph Neural Network (GNN) was employed to model the toxicity of organic compounds to bees, using molecular graphs derived from SMILES strings. The model achieved an average AUC-ROC of 0.76 on the test set and 0.97 on the training set, with low standard deviations (± 0.03), indicating consistent performance across cross-validation folds. The combined ROC curve of all test folds yielded an overall AUC-ROC of 0.802, demonstrating robust discriminative ability despite class imbalance. In this sense, additional metrics, including Matthews Correlation Coefficient (MCC), Balanced Accuracy and the confusion matrix, were also calculated. Beyond satisfactory parameters, the GNN provided interpretable results through its attention mechanism, which identified molecular substructures associated with toxicity. Notably, regions corresponding to organophosphates, polyhalogenated groups and nucleophilic functional groups were frequently highlighted chemical patterns, which are part of already known mechanisms, such as acetylcholinesterase inhibitors, for example. Additionally, lipophilic alkyl chains and aromatic groups were associated with increased metabolic persistence, suggesting enhanced bioaccumulation potential. These insights reinforce the utility of GNNs as powerful tools for predictive ecotoxicology, offering both performance and mechanistic interpretability in the identification of hazardous substances. The approach presented here supports the development of safer chemicals and contributes to the advancement of non-animal testing strategies in environmental safety assessments. © The Author(s), under exclusive licence to Springer Science+Business Media, LLC, part of Springer Nature 2025.</t>
  </si>
  <si>
    <t xml:space="preserve">Bernardes R.C.; Botina L.L.; da Silva F.P.; Fernandes K.M.; Lima M.A.P.; Martins G.F.</t>
  </si>
  <si>
    <t>41</t>
  </si>
  <si>
    <t xml:space="preserve">Machine learning (ML) is a branch of artificial intelligence (AI) that enables the analysis of complex multivariate data. ML has significant potential in risk assessments of non-target insects for modeling the multiple factors affecting insect health, including the adverse effects of agrochemicals. Here, the potential of ML for risk assessments of glyphosate (herbicide; formulation) and imidacloprid (insecticide, neonicotinoid; formulation) on the stingless bee Melipona quadrifasciata was explored. The collective behavior of forager bees was analyzed after in vitro exposure to agrochemicals. ML algorithms were applied to identify the agrochemicals that the bees have been exposed to based on multivariate behavioral features. Changes in the in situ detection of different proteins in the midgut were also studied. Imidacloprid exposure leads to the greatest changes in behavior. The ML algorithms achieved a higher accuracy (up to 91%) in identifying agrochemical contamination. The two agrochemicals altered the detection of cells positive for different proteins, which can be detrimental to midgut physiology. This study provides a holistic assessment of the sublethal effects of glyphosate and imidacloprid on a key pollinator. The procedures used here can be applied in future studies to monitor and predict multiple environmental factors affecting insect health in the field. © 2021 Elsevier B.V.</t>
  </si>
  <si>
    <t xml:space="preserve">Chergui S.; Boudjemâa K.; Chikhi W.; Daoudi-Hacini S.; Berraï H.</t>
  </si>
  <si>
    <t xml:space="preserve">Pollinators, particularly honey bees (Apis mellifera Linnaeus, 1758) (Hymenoptera: Apidae), play a vital role in fruit crop production, yet their populations are increasingly threatened by pesticide exposure. This study aimed to evaluate the potential toxicological effects of commonly used pesticides in Algerian fruit orchards on honey bees through in silico predictive approaches. Eight active substances were selected based on their frequent application, and toxicity was predicted using tools such as Protox III, focusing on endpoints including neurotoxicity, mitochondrial dysfunction, ecotoxicity, and detoxification pathway activation. Molecular docking analyses revealed variable binding affinities between pesticides and key bee proteins, highlighting strong interactions of insecticides such as azoxystrobin, abamectin, and lambda-cyhalothrin with neurotoxic targets like the nicotinic acetylcholine receptor (nAChR) and acetylcholinesterase (AChE). Additionally, fungicides including fludioxonil and difenoconazole exhibited high affinities for detoxification-related enzymes, such as glutathione S-transferase and superoxide dismutase, suggesting potential interference with cellular defense mechanisms. These multi-target interactions indicate complex modes of toxic action that may amplify sublethal effects on bee health. The findings underscore the urgent need to integrate pollinator safety considerations into pest management strategies to preserve bee populations and ensure sustainable fruit production. © 2025 Taylor &amp; Francis Group, LLC.</t>
  </si>
  <si>
    <t xml:space="preserve">Lv L.; Zhou G.; Wang Y.; Zhao Q.; Lu P.; Peng X.; Wang Y.; Hu G.</t>
  </si>
  <si>
    <t xml:space="preserve">The improper application of pesticides is a critical reason for the population decline of pollination insects. Despite decades of extensive ecotoxicological investigations into pollinators, the majority of studies have primarily focused on the impact of individual pesticides, whereas the combined impacts of multiple pesticide and their underlying mechanisms remain insufficiently understood. This study aimed to investigate the individual and combined toxic effects of imidacloprid (IDP) and epoxiconazole (EXC) on honey bees (Apis mellifera L.) and to further elucidate the associated mechanistic basis by assessing enzymatic biomarkers, gene expression, and gut microbiota. Our acute toxicity results exerted that IDP showed a higher acute toxicity to A. mellifera compared to EXC. There was an acute synergistic effect on the bees when co-exposure to IDP and EXC. The individual and combined exposures significantly affected the activities of CAT, PPO, α-AMS, GST, and CarE, as along with the expressions of genes (caspase-1 , CYP4G11 , CYP306A1, GSTS3, dorsal-2 and vtg) related to apoptosis, detoxification metabolism, immune response and lifespan. In addition, the 16S rDNA amplicon analysis of honey bees revealed that the abundance and structure of the microbiota were significantly affected, especially after 14 days of exposure. The abundance of the core bacterial genus (Bifidobacterium , Apilactobacillus , and Lactobacillus) have remarkably diminished. Our results would help to elucidate the mechanisms underlying the complex impact of pesticide mixtures on honey bees. Overall, these findings provided worthy reference for effective protection of pollination insects and contributed to the design of guideline for the rational application of pesticide mixtures in agro-ecosystems. © 2026 Elsevier Inc.</t>
  </si>
  <si>
    <t xml:space="preserve">Qin L.-T.; Tian X.-F.; Zhang J.-Y.; Liang Y.-P.; Zeng H.-H.; Mo L.-Y.</t>
  </si>
  <si>
    <t xml:space="preserve">Quantitative structure–activity relationships (QSARs) have been used to predict mixture toxicity. However, current research faces gaps in achieving accurate predictions of the mixture toxicity of azole fungicides. To address this gap, the application of machine learning (ML) algorithms has emerged as an effective strategy. In this study, we applied 12 algorithms, namely, k-nearest neighbor (KNN), kernel k-nearest neighbors (KKNN), support vector machine (SVM), random forest (RF), stochastic gradient boosting (GBM), cubist, bagged multivariate adaptive regression splines (Bagged MARS), eXtreme gradient boosting (XGBoost), boosted generalized linear model (GLMBoost), boosted generalized additive model (GAMBoost), bayesian regularized neural networks (BRNN), and recursive partitioning and regression trees (CART) to build ML models for 225 mixture toxicity of azole fungicides towards Auxenochlorella pyrenoidosa. A total of 36 single ML models and 12 consensus models were developed. The results indicated that models employing concentration addition (CA), independent action (IA), and molecular descriptors (MD) as variables demonstrated superior predictive abilities. The consensus model combining SVM and RF algorithms (labeled as CM0) demonstrated the highest level of accuracy in fitting the data, with a coefficient of determination of 0.980. Additionally, it showed strong predictive abilities when tested with external data, achieving an external R2 value of 0.945 and a Concordance Correlation Coefficient of 0.967. This study provides a positive contribution to the ecological risk assessment of a mixture of azole fungicides. © 2024</t>
  </si>
  <si>
    <t xml:space="preserve">Matsuzaka Y.; Uesawa Y.</t>
  </si>
  <si>
    <t xml:space="preserve">Since the first appearance of artificial intelligence (AI) in the 1950s, it has gone through a fascinating history, changing its appearance until it has been recognized. The use of AI is receiving a lot of attention in the field of elucidation and evaluation of the physiological action mechanisms of toxic chemical compounds. This is because toxicity tests on experimental animals are generally used in the toxicity evaluation of chemical substances, and it is required to develop an in silico toxicity prediction method based on time reduction and consumption and the 3Rs perspectives. On the other hand, deep learning is a promising technique for achieving advanced prediction in quantitative structure-activity relationship (QSAR) toxicity prediction. However, QSAR did not fully exploit the capability of deep learning, which can directly analyze the molecular structure because molecular descriptors have traditionally been used to transfer chemical structure information to AI. Therefore, this study develops a novel structural information input method, “DeepSnap,” to learn the characteristics of the entire molecules as image data. In this study, the physiological activity value associated with each molecule was identified by inputting an image file generated from a three-dimensional (3D) molecular structure into a deep learning system developed in the field of image analysis, demonstrating that excellent predictive performance can be obtained. In this way, AI attempts to think beyond human judgment using deep learning. The advancement of this technology is projected to continue; however, the ambiguity of AI's judgment criteria has proven to be a “black box problem.” To dispel such concerns, the technique “explainable AI (XAI),” which explains the judgment basis of deep learning models, has grown in popularity recently. Although XAI has been studied in various directions in response to its high needs, the operating principle of the AI model itself has not yet been clarified. Therefore, comprehensive analysis of various chemical substances using large-scale reliable and explanatory toxicity information is expected to enable the development and enhancement of toxicity prediction methods using machine learning. © 2023 Elsevier Inc. All rights reserved.</t>
  </si>
  <si>
    <t xml:space="preserve">Heard M.S.; Baas J.; Dorne J.-L.; Lahive E.; Robinson A.G.; Rortais A.; Spurgeon D.J.; Svendsen C.; Hesketh H.</t>
  </si>
  <si>
    <t>133</t>
  </si>
  <si>
    <t xml:space="preserve">Threats to wild and managed insect pollinators in Europe are cause for both ecological and socio-economic concern. Multiple anthropogenic pressures may be exacerbating pollinator declines. One key pressure is exposure to chemicals including pesticides and other contaminants. Historically the honey bee (Apis mellifera spp.) has been used as an ‘indicator’ species for ‘standard’ ecotoxicological testing but it has been suggested that it is not always a good proxy for other types of eusocial and solitary bees because of species differences in autecology and sensitivity to various stressors. We developed a common toxicity test system to conduct acute and chronic exposures of up to 240 h of similar doses of seven chemicals, targeting different metabolic pathways, on three bee species (Apis mellifera spp., Bombus terrestris and Osmia bicornis). We compared the relative sensitivity between species in terms of potency between the chemicals and the influence of exposure time on toxicity. While there were significant interspecific differences that varied through time, overall the magnitude of these differences (in terms of treatment effect ratios) was generally comparable (&lt; 2 fold) although there were some large divergences from this pattern. Our results suggest that A. mellifera spp. could be used as a proxy for other bee species provided a reasonable assessment factor is used to cover interspecific variation. Perhaps more importantly our results show significant and large time dependency of toxicity across all three tested species that greatly exceeds species differences (&gt; 25 fold within test). These are rarely considered in standard regulatory testing but may have severe environmental consequences, especially when coupled with the likelihood of differential species exposures in the wild. These insights indicate that further work is required to understand how differences in toxicokinetics vary between species and mixtures of chemicals. © 2016 Elsevier B.V.</t>
  </si>
  <si>
    <t xml:space="preserve">Moural T.W.; Koirala B K S.; Bhattarai G.; He Z.; Guo H.; Phan N.T.; Rajotte E.G.; Biddinger D.J.; Hoover K.; Zhu F.</t>
  </si>
  <si>
    <t>22</t>
  </si>
  <si>
    <t xml:space="preserve">The European honey bee, Apis mellifera, serves as the principle managed pollinator species globally. In recent decades, honey bee populations have been facing serious health threats from combined biotic and abiotic stressors, including diseases, limited nutrition, and agrochemical exposure. Understanding the molecular mechanisms underlying xenobiotic adaptation of A. mellifera is critical, considering its extensive exposure to phytochemicals and agrochemicals present in the environment. In this study, we conducted a comprehensive structural and functional characterization of AmGSTD1, a delta class glutathione S-transferase (GST), to unravel its roles in agrochemical detoxification and antioxidative stress responses. We determined the 3-dimensional (3D) structure of a honey bee GST using protein crystallography for the first time, providing new insights into its molecular structure. Our investigations revealed that AmGSTD1 metabolizes model substrates, including 1-chloro-2,4-dinitrobenzene (CDNB), p-nitrophenyl acetate (PNA), phenylethyl isothiocyanate (PEITC), propyl isothiocyanate (PITC), and the oxidation byproduct 4-hydroxynonenal (HNE). Moreover, we discovered that AmGSTD1 exhibits binding affinity with the fluorophore 8-Anilinonaphthalene-1-sulfonic acid (ANS), which can be inhibited with various herbicides, fungicides, insecticides, and their metabolites. These findings highlight the potential contribution of AmGSTD1 in safeguarding honey bee health against various agrochemicals, while also mitigating oxidative stress resulting from exposure to these substances. © 2023 Elsevier Ltd</t>
  </si>
  <si>
    <t xml:space="preserve">Khan K.; Roy K.</t>
  </si>
  <si>
    <t>27</t>
  </si>
  <si>
    <t xml:space="preserve">Organic chemicals (OCs) constitute a large proportion of the output of chemical and allied industries in the form of pharmaceuticals, cosmetics, agrochemicals, biocides, etc. demonstrating very high structural heterogeneity and their continuous detection in aquatic compartments, which have raised ecological concerns. In silico techniques employed in hazard assessment have evolved for years starting from simple quantitative structure-activity/toxicity relationship (QSAR/QSTR) models to interspecies quantitative structure-toxicity-toxicity relationship (i-QSTTR) models and finally towards species sensitivity distributions (SSDs). These techniques have gradually offered more and more known levels of uncertainty in the predictions derived from them. The current manuscript reports sufficiently robust and externally predictive interspecies i-QSTTR and SSD derived models employing ecotoxicity data of organic chemicals against 10 different groups of species compiled from the ECOTOX database. The models were developed using simple and interpretable 2D descriptors and employing the partial least squares (PLS) regression technique in most cases. The methodology including dataset preparation/division, model development/validation, applicability domain (AD) assessment, and interpretation was implemented conforming to the OECD protocols for QSAR model development. Mean (μ), standard deviation (ρ), and difference (δ) models were employed for deriving SSDs of compounds not having experimental data against at least three groups of species. Moreover, the prediction reliability indicator (PRI) tool (http://teqip.jdvu.ac.in/QSAR_Tools/) was used to check the reliability of predicted SSDs for the extended list of modeled compounds. The results demonstrate the advantages of SSD-derived models in ecotoxicity predictions over other in silico techniques. This journal is © The Royal Society of Chemistry</t>
  </si>
  <si>
    <t xml:space="preserve">Li X.; Zhang Y.; Chen H.; Li H.; Zhao Y.</t>
  </si>
  <si>
    <t>35</t>
  </si>
  <si>
    <t xml:space="preserve">Use of chemical pollutants, including pesticides and other industrial chemicals, has resulted in significant risks to the whole ecosystem. Therefore, ecological risk assessment of chemicals is vital and necessary. Since the honey bee (Apis mellifera) is probably among the most exposed species to the polluting chemicals, we focused on the in silico estimation of honey bee toxicity (HBT) of chemicals and the analysis of the relevance of chemical HBT and several key physical-chemical properties and structural characteristics. A total of 40 classification models were developed by combination of five machine learning methods along with seven kinds of fingerprints and a set of molecular descriptors. After 5-fold cross validation and external validation, several models showed good predictive power. The relevance of 12 key physical-chemical properties and chemical HBT was also investigated. Five properties, including AlogP, logD, molecular weight (MW), molecular surface area (MSA), and the number of rotatable bonds (nRTB), indicated positive correlation coefficients with HBT, while molecular solubility (logS) and the number of hydrogen bond donors (nHBD) indicated negative correlation coefficients. Finally, seven privileged substructures responsible for chemical HBT were identified from KRFP and SubFP fingerprints. The results of this study should provide critical information and useful tools for chemical HBT estimation in environmental risk assessment. © 2017 American Chemical Society.</t>
  </si>
  <si>
    <t xml:space="preserve">Shirvanihosseini S.; Rodríguez-Díaz J.M.; Casanola-Martin G.M.; Rasulev B.</t>
  </si>
  <si>
    <t xml:space="preserve">Polymeric coatings are extremely important and widely applied materials. However, the widespread usage of polymeric coatings has increased the likelihood of ecosystem pollution, especially in aquatic environments, posing toxicity risks for microorganisms. Using in silico approaches is a cost- and time-efficient way to assess properties of materials and to reduce potential environmental impact. In this work, a dataset of polymeric materials is collected that includes information on the toxicity of green algae towards different polymeric materials and their particles. A machine learning-based cheminformatics technique known as Quantitative Structure–Activity Relationship (QSAR) was applied to establish a correlation between structure of polymeric particles and toxicity. In result, a predictive model was developed to predict the green algae growth inhibition (EC50). A set of linear and non-linear machine learning (ML) methods was applied to build the structure-toxicity relationship model. Special mixture-based descriptors were generated to apply in QSAR modeling to describe complex polymeric materials and identify the high-relevance features/descriptors responsible for growth inhibition. The best models were selected based on their performance on training ( R  2  train , Q  2 , RMSE ) and validation sets ( R  2  test , y -scrambling). A six-variable model was selected as the best one with R2train = 0.91 and R2test = 0.82, for training and test sets, respectively. In addition, the developed QSAR model identified several influential descriptors, such as hydrogen bond donor fragments, spatial arrangement, and hydrophilicity of the polymeric materials investigated that were responsible for the toxicity. Copyright © 2025. Published by Elsevier B.V.</t>
  </si>
  <si>
    <t xml:space="preserve">Mukherjee R.K.; Kumar V.; Roy K.</t>
  </si>
  <si>
    <t>30</t>
  </si>
  <si>
    <t xml:space="preserve">Honey bees (Apis mellifera) are vital for economic, viable agriculture and for food safety. Although Plant Protection Products (PPPs) are of undeniable importance in the global agricultural system, these have become potential threats for non-target organisms like pollinators (e.g., honey bees etc.), resulting in the disruption of the ecological balance. In the current work, we have used the 113 PPP analogs to develop a 2D-QSAR model and explored the structural features modulating the toxic effects on honey bees, following the Organization for Economic Co-operation and Development (OECD) guidelines. The extensive validation of the developed model has been performed using internal and external validation metrics to make sure that the model is statistically sound and interpretable enough to be acceptable. The obtained results (R2 = 0.666, Q2 = 0.594, Q2F1 = 0.647 and Q2F2 = 0.646) determine the predictability and reliability of the developed model. This model should be useful for the predictions (acute contact toxicity (LD50)) of the new and untested compounds located inside the applicability domain of the developed model. Moreover, we have performed the in-silico prediction of toxicity against honey bees of a total of 709 compounds obtained from the pesticide properties database (PPDB) using the developed model. © 2021 Elsevier B.V.</t>
  </si>
  <si>
    <t xml:space="preserve">Mena F.; Berrocal S.; Solano K.; Herrera E.; Gallardo M.; Jiménez K.; Aguilar I.; Pinnock-Branford M.</t>
  </si>
  <si>
    <t>8</t>
  </si>
  <si>
    <t xml:space="preserve">The decline of insect pollinators is a significant concern within the current biodiversity crisis. The paradox between the benefits that these animals represent to humans and the evidence of human activities driving their extinction calls for the urgent protection of bees. To address the role of chemical pollution in this scenario, we assessed the acute toxicity as well as four biomarker responses (cholinesterase [ChE], glutathione S-transferase, catalase, and lipid peroxidation [LPO]) elicited by dietary 24-h exposure to three insecticides (malathion, imidacloprid, and fipronil) on the stingless neotropical bee Tetragonisca angustula and the honeybee Apis mellifera. Malathion was the most toxic substance to both species, with 48-h median lethal doses (LD50s) of 0.25 ng/bee to A. mellifera and 0.02 ng/bee to T. angustula. Fipronil was also highly toxic and presented a similar toxicity to both species, with 48-h LD50s of 0.5 ng/bee (A. mellifera) and 0.4 ng/bee (T. angustula). Imidacloprid had the lowest acute toxicity with a 48-h LD50 of 29 ng/bee for A. mellifera, whereas T. angustula tolerated exposure higher than 35 ng/bee. Apparent biomarker responses were observed in bees of both species that survived exposure to higher concentrations of malathion (ChE inhibition) and fipronil (increased LPO). Our results suggest that specific sensitivity to insecticides varies greatly among compounds and pollinator species, but the use of different representative species can facilitate the prioritization of substances regarding their risk to pollinators. Further research is necessary to better characterize the risk that pesticides represent in neotropical agricultural landscapes. Environ Toxicol Chem 2023;42:1022–1031. © 2023 SETAC. © 2023 SETAC.</t>
  </si>
  <si>
    <t xml:space="preserve">Carnesecchi E.; Toma C.; Roncaglioni A.; Kramer N.; Benfenati E.; Dorne J.L.C.M.</t>
  </si>
  <si>
    <t>38</t>
  </si>
  <si>
    <t xml:space="preserve">Honey bees (Apis mellifera) provide key ecosystem services as pollinators bridging agriculture, the food chain and ecological communities, thereby ensuring food production and security. Ecological risk assessment of single Plant Protection Products (PPPs) requires an understanding of the exposure and toxicity. In silico tools such as QSAR models can play a major role for the prediction of structural, physico-chemical and pharmacokinetic properties of chemicals as well as toxicity of single and multiple chemicals. Here, the first integrative honey bee QSAR model has been developed for PPPs using EFSA's OpenFoodTox, US-EPA ECOTOX and Pesticide Properties DataBase i) to predict acute contact toxicity (LD50) and ii) to profile the Mode of Action (MoA) of pesticides active substances. Three different classification-based and four regression-based models were developed and tested for their performance, thus identifying two models providing the most reliable predictions based on k-NN algorithm. The two-category QSAR model (toxic/non-toxic; n = 411) was validated using sensitivity (=0.93), specificity (=0.85), balanced accuracy (=0.90), and Matthews correlation coefficient (MCC = 0.78) as statistical parameters. The regression-based model (n = 113) was validated for its reliability and robustness (R2 = 0.74; MAE = 0.52). Current study proposes the MoA profiling for 113 pesticides active substances and the first harmonised MoA classification scheme for acute contact toxicity in honey bees, including LD50s data points from three different databases. The classification allows to further define MoAs and the target site of PPPs active substances, thus enabling regulators and scientists to refine chemical grouping and toxicity extrapolations for single chemicals and component-based mixture risk assessment of multiple chemicals. Relevant future perspectives are briefly addressed to integrate MoA, adverse outcome pathways (AOPs) and toxicokinetic information for the refinement of single-chemical/combined toxicity predictions and risk estimates at different levels of biological organization in the bee health context. © 2018 Elsevier B.V.</t>
  </si>
  <si>
    <t xml:space="preserve">Ghafoor A.; Majid M.; Jahangir H.; Zaidi S.A.J.; Hassan S.R.; Ismael W.M.; Rehman A.U.</t>
  </si>
  <si>
    <t xml:space="preserve">Reduction in pollinator abundance (predominantly honeybees) stemming from environmental and chemical stressors notably neonicotinoid pesticides poses serious threats to biodiversity and agricultural productivity. This study presents a scalable machine learning framework to foresee honey yield and assess the impact of neonicotinoid exposure. Drawing upon a curated dataset, of 825 records encompassing 16 agro-environmental and chemical parameters including colony counts, yield metrics, and pesticide residue concentrations. Subsequently, we assessed 13 classification models, marked improvement was evident, as ensemble models consistently outperformed individual learners. Notably, our proposed voting classifier (AgriBuzzEnsemble), which synergistically fuses Support Vector Machine (SVM) and Gaussian Naive Bayes (GNB), surpassed all baseline models, showcasing robust accuracy of 98%, a Matthews Correlation Coefficient (MCC) of 0.9751, a specificity of 0.9917, and an ROC AUC of 0.9985. Data preparation encompassed missing value imputation, outlier detection, feature scaling, and SMOTE based class balancing. For subsequent analysis, we employed Z-score filtering to detect and remove outliers, followed by a log1p transformation to mitigate skewness adhering to standard and well established preprocessing standards. Correlation analysis and statistical tests comprising McNemar’s Test, ANOVA, and Tukey’s HSD validated model reliability and confirmed the negative association between neonicotinoid burden and honey yield. Our proposed framework AgriBuzzEnsemble facilitates precision focused beekeeping by identifying yield risk zones and can be generalized to other regions facing pollinator stress, offering a robust and interpretable solution for sustainable agricultural planning. © The Author(s) 2026.</t>
  </si>
  <si>
    <t xml:space="preserve">La Porta G.; Magara G.; Goretti E.; Caldaroni B.; Dörr A.J.M.; Selvaggi R.; Pallottini M.; Gardi T.; Cenci-Goga B.T.; Cappelletti D.; Elia A.C.</t>
  </si>
  <si>
    <t>10</t>
  </si>
  <si>
    <t xml:space="preserve">Insect pollinators provide an important ecosystem service that supports global biodiversity and environmental health. The study investigates the effects of the environmental matrix on six oxidative stress biomarkers in the honey bee Apis mellifera. Thirty-five apiaries located in urban, forested, and agricultural areas in Central Italy were sampled during the summer season. Enzyme activities in forager bees were analyzed using an artificial neural network, allowing the identification and representation of the apiary patterns in a Self-Organizing Map. The SOM nodes were correlated with the environmental parameters and tissue levels of eight heavy metals. The results indicated that the apiaries were not clustered according to their spatial distribution. Superoxide dismutase expressed a positive correlation with Cr and Mn concentrations; catalase with Zn, Mn, Fe, and daily maximum air temperature; glutathione S-transferase with Cr, Fe, and daily maximal air temperature; and glutathione reductase showed a negative correlation to Ni and Fe exposure. This study highlights the importance of exploring how environmental stressors affect these insects and the role of oxidative stress biomarkers. Artificial neural networks proved to be a powerful approach to untangle the complex relationships between the environment and oxidative stress biomarkers in honey bees. The application of SOM modeling offers a valuable means of assessing the potential effects of environmental pressures on honey bee populations. © 2023 by the authors.</t>
  </si>
  <si>
    <t xml:space="preserve">Varsou D.-D.; Ellis L.-J.A.; Afantitis A.; Melagraki G.; Lynch I.</t>
  </si>
  <si>
    <t>37</t>
  </si>
  <si>
    <t xml:space="preserve">Nanoinformatics models to predict the toxicity/ecotoxicity of nanomaterials (NMs) are urgently needed to support commercialization of nanotechnologies and allow grouping of NMs based on their physico-chemical and/or (eco)toxicological properties, to facilitate read-across of knowledge from data-rich NMs to data-poor ones. Here we present the first ecotoxicological read-across models for predicting NMs ecotoxicity, which were developed in accordance with ECHA's recommended strategy for grouping of NMs as a means to explore in silico the effects of a panel of freshly dispersed versus environmentally aged (in various media) Ag and TiO2 NMs on the freshwater zooplankton Daphnia magna, a keystone species used in regulatory testing. The dataset used to develop the models consisted of dose-response data from 11 NMs (5 TiO2 NMs of identical cores with different coatings, and 6 Ag NMs with different capping agents/coatings) each dispersed in three different media (a high hardness medium (HH Combo) and two representative river waters containing different amounts of natural organic matter (NOM) and having different ionic strengths), generated in accordance with the OECD 202 immobilization test. The experimental hypotheses being tested were (1) that the presence of NOM in the medium would reduce the toxicity of the NMs by forming an ecological corona, and (2) that environmental ageing of NMs reduces their toxicity compared to the freshly dispersed NMs irrespective of the medium composition (salt only or NOM-containing). As per the ECHA guidance, the NMs were grouped into two categories - freshly dispersed and 2-year-aged and explored in silico to identify the most important features driving the toxicity in each group. The final predictive models have been validated according to the OECD criteria and a QSAR model report form (QMRF) report included in the supplementary information to support adoption of the models for regulatory purposes. © 2021 The Author(s)</t>
  </si>
  <si>
    <t xml:space="preserve">Xu X.; Zhao P.; Wang Z.; Zhang X.; Wu Z.; Li W.; Tang Y.; Liu G.</t>
  </si>
  <si>
    <t xml:space="preserve">In recent years, the decline of honey bees and the collapse of bee colonies have caught the attention of ecologists, and the use of pesticides is one of the main reasons for the decline. Therefore, ecological risk assessment of pesticides is essential and necessary. In silico tools, such as QSAR models can play an important role in predicting physicochemical and biological properties of chemicals. In this study, a total of 54 classification models were developed by combination of 6 machine learning methods along with 9 kinds of molecular fingerprints based on the experimental honey bees acute contact toxicity data (LD50) of 676 structurally diverse pesticides. The best model proposed was SVM algorithm combined with CDK extended fingerprint. The analysis of the applicability domain of the model successfully excluded some extreme molecules. Additionally, 9 structural alerts about honey bees acute contact toxicity were identified by information gain and substructure frequency analysis. © 2021 Elsevier Ltd</t>
  </si>
  <si>
    <t xml:space="preserve">Masand V.H.; Rathore M.M.; Bansod J.R.; Patil M.K.; Masand G.S.; Samad A.</t>
  </si>
  <si>
    <t xml:space="preserve">The present study develops machine learning models to predict the acute inhalation toxicity (pLC₅₀) of a diverse set of 552 molecules. Following dataset curation from the Integrated Chemical Environment (ICE) database, 3D molecular structures were generated and molecular descriptors (∼58,000) were calculated. After unsupervised pruning and redundancy reduction, 853 descriptors remained, which were further refined to 47 descriptors. Final feature selection was carried out exclusively on the training set using the Red Fox Algorithm (RFA). Random Forest Regressor (RFR) models were then developed and interpreted using Shapley additive explanations (SHAP) values. The resulting RFA–RFR model demonstrated robust statistical performance (R2tr = 0.907, R2L10%O = 0.902, and Q2F3 = 0.887). Model robustness was confirmed through leave-10%-out cross-validation and external set validation method. Importantly, benchmarking against previous QSAR models for inhalation toxicity shows improved predictive accuracy and broader chemical applicability. Mechanistic interpretation revealed that toxicity is strongly influenced by molecular weight, hydrogen bond acceptor count, lipophilic-polar balance, and sp3-hybrid carbon with oxygen arrangements. This study highlights the value of integrating feature optimization with interpretable machine learning approaches for deriving predictive and mechanistically meaningful models of inhalation toxicity. © 2026 Elsevier Inc. All rights are reserved, including those for text and data mining, AI training, and similar technologies.</t>
  </si>
  <si>
    <t xml:space="preserve">Viganò E.L.; Iwan M.; Colombo E.; Ballabio D.; Roncaglioni A.</t>
  </si>
  <si>
    <t>3</t>
  </si>
  <si>
    <t xml:space="preserve">Abstract: In recent years, the integration of Artificial Intelligence and Machine Learning methods with biochemical and biomedical research has revolutionized the field of toxicology, significantly advancing our understanding of the toxicological effects of chemicals on biological systems. Cardiovascular diseases remain the leading global cause of death. The constant exposure to multiple chemicals with potential cardiotoxic effects, including environmental contaminants, pesticides, food additives, and drugs, can significantly contribute to these adverse health outcomes. Traditional methods for assessing chemical hazards and their impact on biological function heavily rely on experimental assays and animal studies, which are often time-consuming, resource-intensive, and limited in scalability. To overcome these limitations in silico methods have emerged as indispensable tools in toxicological research, reducing the need for traditional in vivo testing and conserving valuable resources in terms of time and cost. In this study, Artificial Intelligence methods are used as first-tier components within an Integrated Approach to Testing and Assessment. We explored the potential benefits of using Multitask Neural Networks, where multiple levels of cardiotoxicity information are combined to enhance model performance. Multitask learning, based on specific architectures such as Mixture of Experts (MoE), showed promising results and surpasses the performance of single-task baseline models. When predicting a holdout set, multitask model achieved high performance on twelve different endpoints related to cardiotoxicity defined by Adverse Outcome Pathways Network. The best developed model achieved a balanced accuracy of 78%, a sensitivity of 80%, and a specificity of 76% across all endpoints in the holdout set. Scientific contribution: An advanced multitask model was developed to predict cardiotoxicity mechanisms induced by small molecules. The model demonstrates broad mechanistic coverage and achieves performance comparable to, or exceeding, state-of-the-art methods. These results suggest that the model could serve as a valuable first-tier component in advanced New Approach Methodologies for prioritizing chemicals for further testing. © The Author(s) 2025.</t>
  </si>
  <si>
    <t xml:space="preserve">Wu P.-Y.; Chou W.-C.; Kamineni V.N.; Chen C.-Y.; Hsieh J.-H.; Vulpe C.D.; Lin Z.</t>
  </si>
  <si>
    <t xml:space="preserve">Traditional toxicity assessment relies heavily on animal testing, particularly for chemicals lacking toxicity data. This study developed machine learning (ML)-driven quantitative structure–activity relationship (QSAR) models to predict human organ-specific toxicities, including cardiotoxicity, developmental toxicity, hepatotoxicity, neurotoxicity, nephrotoxicity, and reproductive toxicity. We collected in vivo data for 2,389 chemicals and Tox21 high-throughput screening data for 1,746 chemicals, resulting in 1,743 chemicals with matched datasets. Eighty-eight ML-based QSAR models were developed using three feature scenarios: (1) Tox21 data alone, (2) molecular descriptors alone, and (3) combined features. Five descriptor types and four ML algorithms (random forests, decision trees, support vector machines, and deep neural network [DNN]) were applied, with and without chi-square-based feature selection. Performance was evaluated using nested cross-validation and five metrics (recall, precision, balanced accuracy, F1 score, and ROC-AUC). DNN models in Scenario 2 performed best for developmental and neurotoxicity, while those in Scenario 3 outperformed others for the remaining toxicities. ROC-AUC values approached 0.8 across endpoints, and models without feature selection generally performed better. SHAP and contribution maps enhanced interpretability, highlighting key structural features of toxicity. This study demonstrates the potential of ML-assisted QSAR models for accurate multi-organ toxicity prediction, supporting drug development and chemical risk assessment. © 2025 Elsevier B.V.</t>
  </si>
  <si>
    <t xml:space="preserve">Souza C.O.; Wanderley Teixeira V.; Cruz G.D.S.; Guedes C.A.; Nascimento J.C.D.S.; Cavalcanti Lapa Neto C.J.; Teixeira Á.A.C.</t>
  </si>
  <si>
    <t xml:space="preserve">Apis mellifera has ecological, economic and social importance. Thus, this study aimed to compare, at a toxicological, physiological and nutritional level, the insecticidal activity of natural pesticides in comparison with synthetic ones, adding knowledge about the impacts of these products and verifying their safety for these animals. Toxicity bioassays were performed to obtain the LC50 (lethal concentration) of the products (Azamax®, Limonene, Karate® and Roundup®) through Probit analysis. The concentrations and toxicity ratios (TR) obtained, in decreasing toxicity level, were Karate® (0.0134 mL/100 mL, 53,156 times) &gt; Limonene (1.44 mL/100 mL, 494.64 times) &gt; Roundup® (712.29 mL/100 mL). It was not possible to obtain the LC50 for Azamax®, as concentrations above 250 mL/100 mL caused repellency and below there was no mortality. LC50 and Azamax® concentrations were used as a treatment in histological, histochemical and biochemical analyses. Although the herbicide Roundup® has shown low toxicity by ingestion, it and the Limonene were the substances that most interfered with nutritional biochemical parameters, in addition to causing histopathological changes in midgut cells. The insecticide Karate® also led to histopathological changes in cells and a reduction in important macromolecules used in biochemical functions. Despite the repellency observed in the insecticide Azamax®, A. mellifera presented morphological alterations in the digestive cells and in the absorption of nutrients. It is concluded that natural pesticides can be as harmful to A. mellifera bees as synthetic ones, and they can cause deleterious effects on the digestive physiology of these insects, which may reflect on their reproduction. © 2023 International Bee Research Association.</t>
  </si>
  <si>
    <t xml:space="preserve">Chen X.; Shen L.; Huang Y.; Gao Y.; Chen K.; Zhang D.; Liu J.; Yuan J.; Zhuang S.</t>
  </si>
  <si>
    <t xml:space="preserve">Agrochemical exposure can threaten bees with substantial ecological risks. The rapid and accurate prediction of agrochemical ecotoxicity to bees is thus urgently needed; however, existing models are constrained by single-type structural inputs, resulting in limited accuracy and generalizability. This study presents BeeEcoTox, a multimodal graph-learning framework for predicting agrochemical ecotoxicity to bees. The model fuses ChemFM-derived semantic features with molecular graphs through a graph isomorphism network with internal batch normalization, combined with structural features from 1,139 agrochemicals. Inherent class imbalance in the curated data set is addressed through a cost-sensitive learning approach to ensure that the model prioritizes high recall in detecting ecotoxic agrochemicals without compromising overall performance. BeeEcoTox achieves state-of-the-art performance, with area under the curve and recall values of 0.91 and 0.90, respectively, following rigorous benchmarking against a suite of baseline models. Model explainability is enhanced through the use of GNNExplainer, a model-agnostic approach for identifying key toxicophores. BeeEcoTox is deployed as a publicly available web-based platform (https://www.ai4environ.cn/BeeEcoTox) to support advanced ecological risk assessments of agrochemicals and the development of new approach methodologies. © 2026 American Chemical Society</t>
  </si>
  <si>
    <t xml:space="preserve">Igarashi Y.; Re S.; Kojima R.; Okuno Y.; Yamada H.</t>
  </si>
  <si>
    <t>9</t>
  </si>
  <si>
    <t xml:space="preserve">The interaction between sunlight and drugs can lead to phototoxicity in patients who have received such drugs. Phototoxicity assessment is a regulatory requirement globally and one of the main toxicity screening steps in the early stages of drug discovery. An in silico-in vitro approach has been utilized mainly for toxicology assessments at these stages. Although several quantitative structure-activity relationship (QSAR) models for phototoxicity have been developed, in silico technology to evaluate pho-totoxicity has not been well established. In this study, we attempted to develop an artificial intelligence (AI) model to predict the in vitro Neutral Red Uptake Phototoxicity Test results from a chemical structure and its derived information. To accomplish this, we utilized an open-source software library, kMoL. kMoL employs a graph convolutional neural networks (GCN) approach, which allows it to learn the data for the specified chemical structure. kMoL also utilizes the integrated gradient (IG) method, enabling it to visually display the substructures contributing to any positive results. To construct this AI model, we used only the chemical structure as a basis, then added the descriptors and the HOMO-LUMO gap, which was obtained from quantum chemical calculations. As a result, the assortment of chemical structures and the HOMO-LUMO gap produced an AI model with high discrimination performance, and an F1 score of 0.857. Additionally, our AI model could visualize the substructures involved in phototoxicity using the IG method. Our AI model can be applied as a toxicity screening method and could enhance productivity in drug development. © 2023, Japanese Society of Toxicology. All rights reserved.</t>
  </si>
  <si>
    <t xml:space="preserve">Qi Q.; Wang Z.</t>
  </si>
  <si>
    <t>13</t>
  </si>
  <si>
    <t xml:space="preserve">In silico methods are increasingly important in predicting the ecotoxicity of engineered nanomaterials (ENMs), encompassing both individual and mixture toxicity predictions. It is widely recognized that ENMs trigger oxidative stress effects by generating intracellular reactive oxygen species (ROS), serving as a key mechanism in their cytotoxicity studies. However, existing in silico methods still face significant challenges in predicting the oxidative stress effects induced by ENMs. Herein, we utilized laboratory-derived toxicity data and machine learning methods to develop quantitative nanostructure-activity relationship (nano-QSAR) classification and regression models, aiming to predict the oxidative stress effects of five carbon nanomaterials (fullerene, graphene, graphene oxide, single-walled carbon nanotubes, and multi-walled carbon nanotubes) and their binary mixtures on Scenedesmus obliquus cells. We constructed five nano-QSAR classification models by combining zeta potential (ζP) with the C4.5 decision tree, support vector machine, artificial neural network, naive Bayes, and K-nearest neighbor algorithms. Moreover, we constructed three classification models by integrating the features including ζP, hydrodynamic diameter (DH), and specific surface area (SSA) with the logistic regression, random forest, and Adaboost algorithms. The Accuracy, Recall, Precision and harmonic mean of Precision and Recall (F1-score) values of these models were all higher than 0.600, indicating an excellent performance in distinguishing whether CNMs have the potential to generate ROS. In addition, using the ζP, DH, and SSA descriptors, we combined decision tree regression, random forest regression, gradient boosting, and the Adaboost algorithm, and successfully constructed four nano-QSAR regression models with applicable application domains (all training and testing data points lie within 95% confidence intervals), goodness-of-fit (Rtrain2 ≥ 0.850), and robustness (cross-validation R2 ≥ 0.650) as well as predictive power (Rtest2 ≥ 0.610). The method developed would establish a fundamental basis for more precise evaluations of ecological risks posed by these materials from a mechanistic standpoint. © 2025 The Author(s). Published by Oxford University Press on behalf of the Society of Environmental Toxicology and Chemistry. All rights reserved.</t>
  </si>
  <si>
    <t xml:space="preserve">Su T.-S.; Li C.-Y.; Wu C.-C.</t>
  </si>
  <si>
    <t xml:space="preserve">Honeybee mortality caused by environmental toxins and natural factors poses a significant threat to global apiculture and biodiversity. While manual hive inspections are labor-intensive, early detection of pesticide-associated mortality is critical for timely evidence collection before residues degrade and for enabling rapid beekeeper response. This study presents an automated early-warning system that integrates YOLOv9 deep learning with a real-time IoT framework to classify honeybee mortality, focusing on differentiating naturally senescent bees from bees exhibiting neurotoxic-poisoning-associated morphological signs. The system features a waterproof beehive design with an edge-side image acquisition terminal and a remote server, employing a lightweight IoT communication protocol for low-latency data synchronization. Trained on a curated field dataset from an apiary in Fangshan Township, Pingtung County—an area with documented intensive neonicotinoid applications during the Irwin mango flowering season—the model detects morphological signs consistent with neurotoxic pesticide exposure, including proboscis extension and spasmodic limb curling, interpreted together with local pesticide-use records and above-baseline mortality patterns. Despite challenges of dense carcass accumulation and occlusion, the system achieved a mean average precision (mAP@0.5) of 0.937. Integration of a Discord Webhook service and web-based dashboard enables instantaneous mobile alerts, supporting timely on-site investigation and dead bee sample collection for potential residue analysis. The system is designed as a between-inspection early-warning tool that complements, rather than replaces, standard colony management practices. Copyright © 2026. Published by Elsevier Inc.</t>
  </si>
  <si>
    <t xml:space="preserve">Kaur H.; Kaur D.; Choudhury D.; Chakroborty N.K.</t>
  </si>
  <si>
    <t xml:space="preserve">The western honeybee, Apis mellifera, is a crucial pollinator in agricultural ecosystems, contributing to approximately 70-80% of insect-pollinated crops globally. However, their populations are declining worldwide, with annual losses of managed colonies often reaching 30–40% in many regions. Among the multiple stressors, insecticide toxicity is a major contributor. This study investigates the toxic effects of malathion, a widely used organophosphate insecticide, on the survival, sensory function, learning and memory, and physiology of A. mellifera. An acute oral median lethal dose (LD50) of 0.39 μg/bee was estimated, and two sublethal doses, respectively 0.19 μg/bee (LD50/2) and 0.039 μg/bee (LD50/10), were used for behavioral assays. Bees exposed to the dose of 0.19 μg/bee showed reduced gustatory responsiveness to sucrose and water, along with selective impairments in associative learning and memory for the excitatory conditioned stimulus (CS+). In contrast, performance for the inhibitory conditioned stimulus (CS–) remained unaffected. Administration of the same sublethal dose even after conditioning also selectively impaired the CS+ memory, and repeated exposure to the lower sublethal dose of 0.039 μg/bee over 3 days also produced similar effects. Biochemical assays further revealed significantly elevated catalase and superoxide dismutase activities in the malathion-treated bees, indicating increased oxidative stress. These findings demonstrate that malathion, even at sublethal doses, impairs honeybee cognition and physiological homeostasis. © 2025 Elsevier Ltd</t>
  </si>
  <si>
    <t xml:space="preserve">Esmaeily M.; Begna T.; Jang H.; Kwon S.; Jung C.</t>
  </si>
  <si>
    <t xml:space="preserve">Honey bees (Apis mellifera) are major pollinators, playing a critical role in global food production, biodiversity, and ecosystem stability. However, their populations are increasingly threatened by multiple interacting stressors, including pesticide exposure. Among these, agricultural insecticides and anti-Varroa acaricides such as dinotefuran and amitraz can persist in hive matrices, resulting in chronic and combined exposure. This study investigates the low lethal (LC10 and LC30) effects of these compounds, individually and in combination, on honey bee survival, immune function, oxidative stress responses, detoxification pathways, and hypopharyngeal gland morphology. Both pesticides negatively affected honey bee health at low lethal concentrations, with dinotefuran showing higher toxicity. Exposure led to the reduced survival, suppression of vitellogenin expression, and dysregulation of genes related to antioxidant defense, immunity, and detoxification. Additionally, high concentrations of dinotefuran and its combination with amitraz impaired hypopharyngeal gland morphology. Notably, co-exposure resulted in synergistic toxic effects, exacerbating physiological damage beyond individual treatments. These findings emphasize the potential risks of combined exposure to agricultural and beekeeping pesticides. A more comprehensive risk assessment and stricter regulations are urgently needed. © 2025 by the authors.</t>
  </si>
  <si>
    <t xml:space="preserve">Venko K.; Drgan V.; Novič M.</t>
  </si>
  <si>
    <t xml:space="preserve">Nowadays, environmental and biological endpoints can be predicted with in silico approaches if sufficient experimental data of good quality are available. Since the experimental evaluation of acute contact toxicity towards honeybees (Apis mellifera) is a complex and expensive assay, the computational models that follow OECD principles for this endpoint prediction represent important alternatives for safety prioritisation of chemicals, especially pesticides. We developed and validated counter-propagation artificial neural network (CPANN) models for in silico evaluation of toxicity of pesticides towards honeybees by using new in-house software. The data set included 254 pesticides with their toxicological experimental values (acute contact toxicity after 48 h of exposure–LD50 [μg/bee]). The 2D structures of compounds were mathematically represented with 56 Dragon molecular descriptors (MDs). The two-category models were developed to separate compounds as toxic or non-toxic for two different thresholds: (i) toxic when LD50 &lt; 1 μg/bee and (ii) toxic when LD50 &lt; 100 μg/bee. The models give reliable predictions in an external validation set and cover a large structural space. They were applied to a structurally diverse data set of 395 experimentally untested pesticides; 19% of them were predicted as highly toxic towards bees. © 2018, © 2018 Informa UK Limited, trading as Taylor &amp; Francis Group.</t>
  </si>
  <si>
    <t xml:space="preserve">Daneshmand M.; SalarAmoli J.; BaghbanZadeh N.</t>
  </si>
  <si>
    <t xml:space="preserve">Background: Developmental toxicity tests are extremely expensive, require a large number of animals, and are time-consuming. It is necessary to develop a new approach to simplify the analysis of developmental endpoints. One of these endpoints is malformation, and one group of ongoing methods for simplifying is in silico models. In this study, we aim to develop a quantitative structure–activity relationship (QSAR) model and identify the best algorithm for predicting malformations, as well as the most important and effective physicochemical properties associated with malformation. Methods: The dataset was extracted from a reliable database called COMPTOX. Physicochemical properties (descriptors) were calculated using Mordred and RDKit chemoinformatics software. The data were cleaned, preprocessed, and then split into training and testing sets. Machine learning algorithms, such as gradient boosting model (GBM) and logistic regression (LR), as well as deep learning models, including multilayer perceptron (MLP) and neural networks (NNs) trained with train set data and different sets of descriptors. The models were then validated with test set and various statistical parameters, such as Matthew’s correlation coefficient (MCC) and balanced accuracy (BAC) score, were used to compare the models. Results: A set of descriptors containing with 78% AUC was identified as the best set of descriptors. Gradient boosting was determined to be the best algorithm with 78% predictive power. Conclusions: The descriptors that were the most effective for developing models directly impact the mechanism of malformation, and GBM is the best model due to its MCC and BAC. © 2024 Informa UK Limited, trading as Taylor &amp; Francis Group.</t>
  </si>
  <si>
    <t xml:space="preserve">Lee Y.O.; Sung B.</t>
  </si>
  <si>
    <t xml:space="preserve">Data-driven computational predictions of chemical toxicity have drastically accelerated the toxicological screening process. Such in silico methods have been proven to reduce the duration and cost of environmental toxicity tests, offering high-precision prediction for humans and various ecological species. Specifically, recent developments in machine learning frameworks (including deep learning) have provided next-generation in silico tools for predictive ecotoxicology. The purpose of this chapter is to provide a brief introduction to in silico toxicological modeling methods based on machine learning and deep learning. A concise overview of their technological background is provided, as well as their applications to ecotoxicology. Finally, current challenges and future perspectives related to modeling toolkit developments are discussed. © 2022 John Wiley and Sons, Inc.</t>
  </si>
  <si>
    <t xml:space="preserve">Moreira-Filho J.T.; Braga R.C.; Lemos J.M.; Alves V.M.; Borba J.V.V.B.; Costa W.S.; Kleinstreuer N.; Muratov E.N.; Andrade C.H.; Neves B.J.</t>
  </si>
  <si>
    <t>46</t>
  </si>
  <si>
    <t xml:space="preserve">Chemically induced toxicity is the leading cause of recent extinction of honey bees. In this regard, we developed an innovative artificial intelligence-based web app (BeeToxAI) for assessing the acute toxicity of chemicals to Apis mellifera. Initially, we developed and externally validated QSAR models for classification (external set accuracy ∼91%) through the combination of Random Forest and molecular fingerprints to predict the potential for chemicals to cause acute contact toxicity and acute oral toxicity to honey bees. Then, we developed and externally validated regression QSAR models (R2 = 0.75) using Feedforward Neural Networks (FNNs). Afterward, the best models were implemented in the publicly available BeeToxAI web app (http://beetoxai.labmol.com.br/). The outputs of BeeToxAI are: toxicity predictions with estimated confidence, applicability domain estimation, and color-coded maps of relative structure fragment contributions to toxicity. As an additional assessment of BeeToxAI performance, we collected an external set of pesticides with known bee toxicity that were not included in our modeling dataset. BeeToxAI classification models were able to predict four out of five pesticides correctly. The acute contact toxicity model correctly predicted all of the eight pesticides. Here we demonstrate that BeeToxAI can be used as a rapid new approach methodology for predicting acute toxicity of chemicals in honey bees. © 2021</t>
  </si>
  <si>
    <t xml:space="preserve">Dearden J.C.; Rowe P.H.</t>
  </si>
  <si>
    <t>17</t>
  </si>
  <si>
    <t xml:space="preserve">With the introduction of the REACH legislation in the European Union, there is a requirement for property and toxicity data on chemicals produced in or imported into the EU at levels of 1 tonne/year or more. This has meant an increase in the in silico prediction of such data. One of the chief predictive approaches is QSAR (quantitative structure–activity relationships), which is widely used in many fields.; A QSAR approach that is increasingly being used is that of artificial neural networks (ANNs), and this chapter discusses its application to the range of physicochemical properties and toxicities required by REACH. ANNs generally outperform the main QSAR approach of multiple linear regression (MLR), although other approaches such as support vector machines sometimes outperform ANNs. Most ANN QSARs reported to date comply with only two of the five OECD Guidelines for the Validation of (Q)SARs. © Springer Science+Business Media New York 2015.</t>
  </si>
  <si>
    <t xml:space="preserve">Yıldız B.İ.; Karabağ K.; Straub L.</t>
  </si>
  <si>
    <t xml:space="preserve">Understanding the impact of environmental stressors on reproductive health in insect pollinators is critical to addressing global biodiversity and food security challenges. Although artificial intelligence (AI) methods are increasingly applied to biological data, their use in modeling insect reproductive impairments remains limited. Here, we show that machine learning can reveal biologically meaningful fertility patterns in male (drone) honey bees (Apis mellifera) and enable interpretable predictions of pesticide-induced reproductive impairments. Using an integrated machine learning framework, we characterized spermatozoa quality in A. mellifera drones exposed to neonicotinoid pesticides. K-means clustering identified three distinct spermatozoa quality profiles (low, mid, high), which were validated against reproductive benchmarks and predicted with 96% accuracy using the Extreme Gradient Boosting (XGBoost) algorithm. SHapley Additive exPlanations (SHAP) analysis revealed live spermatozoa count as the most decisive predictor, underscoring the interpretability and biological relevance of the model. Our findings demonstrate that explainable AI can model pesticide-induced changes in male insect fertility, providing a scalable tool for ecotoxicological risk assessments as well as applications in honey bee queen breeding programs. © The Author(s) 2026.</t>
  </si>
  <si>
    <t xml:space="preserve">Gini G.; Zanoli F.</t>
  </si>
  <si>
    <t>18</t>
  </si>
  <si>
    <t xml:space="preserve">Today the registered chemical structures are about 28 millions, while experimental toxicity data are available for a few hundred thousands of them. Defining properties and effects for all the available chemicals is a huge task due to the cost of the experimentation and to legislative restrictions. Therefore, prediction is the only available solution, but it poses many challenges in terms of accuracy and interpretability. Predictive toxicology systems use statistics as well as methods based on machine learning (ML). While ML has been widely used in the pharmaceutical domain, its use in ecotoxicology is more limited. After reviewing the experiences in quantitative structure-activity relationships (QSARs) for modeling CMR (carcinogenic, mutagenic, reproductive) toxicity and PBT (persistent, bioaccumulative, and toxic) chemicals, we look at the advancements of technology in ML. Recently, the investigation of the neural basis for many cognitive functions has provided the tools to create new systems that can think, solve problems, find patterns, and recognize images and texts; these new methods are named deep learning (DL). We modified the most successful DL architecture, implemented Toxception as a tool to generate QSAR models, and tested it in a real case, on a dataset of about 20,000 molecules tested for mutagenicity with the Ames test. The results obtained challenge the current state of the art. In addition, Toxception does not use any chemistry knowledge besides the 2D structures derived from SMILES. We conclude examining advantages, open challenges, and drawbacks of building QSARs with DL. © Springer Science+Business Media, LLC, part of Springer Nature 2020.</t>
  </si>
  <si>
    <t xml:space="preserve">del Águila Conde M.; Febbraio F.</t>
  </si>
  <si>
    <t xml:space="preserve">A global decline of the honey bee Apis mellifera has been observed in the last decades. This pollinator plays a fundamental role in food production and the economy in Europe. The decline of honey bee colonies is linked to several stressors, including pesticides. The current pesticide risk assessment of honey bees in Europe focuses on lethal effects and lacks reflection on sublethal effects. A better understanding of the consequences that exposure to these chemicals has on honey bees is still needed. In this context, the aim of this European Food Risk Assessment Fellowship Programme fellowship project has been to use in silico methodologies, such as virtual screening, as a first step to identify possible interactions at the molecular level between A. mellifera proteins and pesticide ligands. For this purpose, a docking study of the proteins from A. mellifera and pesticide ligands extracted from online databases has been performed by using the software Autodock Vina. The results obtained were a ranking based on the predicted affinity of the pesticides for specific and non-specific binding sites on bee macromolecules. These results were compared with data obtained from the literature and linked to potential sublethal effects. Finally, a risk assessment analysis of the identified molecular stressors of honey bees was performed. The results of this study are considered a starting point to identify new sources of possible stress for honey bees and thereby contribute to the overall understanding of the honey bee decline. © 2022 Wiley-VCH Verlag GmbH &amp; Co. KgaA on behalf of the European Food Safety Authority.</t>
  </si>
  <si>
    <t xml:space="preserve">Zhang M.-L.; Wang S.-W.; Li W.-M.; Krongdang S.; Wu Y.-Y.; Dai P.-L.; Li S.-S.; Gao J.</t>
  </si>
  <si>
    <t xml:space="preserve">This study investigates the toxicological effects of Triflumezopyrim (TRF), a novel mesoionic insecticide, on two closely related honey bee species, Apis mellifera and Apis cerana. In acute oral toxicity assays, A. cerana exhibited a lower LC50 value (3.413 mg/L) compared to A. mellifera (17.495 mg/L), indicating approximately 5-fold higher sensitivity to TRF. Transcriptomic analysis revealed differential gene expression patterns related to detoxification, neurotransmission, and immune responses between A. mellifera and A. cerana following TRF exposure, suggesting potential differences in molecular responses that require further validation. A. mellifera displayed enhanced cytochrome P450 and UGT expression, which likely contribute to its higher tolerance, while A. cerana showed obvious downregulation of genes involved in neurotransmission and immune function. Additionally, sublethal TRF exposure caused an initial oxidative imbalance, as indicated by significantly upregulated P450 activity in A. mellifera but a strong reduction in A. cerana, while GST activity was significantly upregulated in both species, alongside decreased GSH levels and reduced LPO, suggesting that different antioxidant and detoxification responses may occur in the two species after TRF exposure. Moreover, the downregulation of neurotransmission related genes (i.e., ACHE, GAD, and GLS) indicated the disruption of synaptic transmission in A. cerana. Consistent with the molecular differences, both the two honey bees exhibited reduced climbing ability and sucrose responsiveness after chronic TRF exposure, with the effects being more pronounced in A. cerana. These laboratory-based hazard identification findings reveal the differential susceptibility of A. mellifera and A. cerana to TRF under controlled conditions, providing foundational data for future refinements of pollinator hazard assessment protocols in regions where both species coexist. © 2026 Elsevier B.V. All rights are reserved, including those for text and data mining, AI training, and similar technologies.</t>
  </si>
  <si>
    <t xml:space="preserve">Bernardes R.C.; Botina L.L.; Araújo R.D.S.; Guedes R.N.C.; Martins G.F.; Lima M.A.P.</t>
  </si>
  <si>
    <t>34</t>
  </si>
  <si>
    <t xml:space="preserve">The lack of consensus regarding pollinator decline in various parts of the planet has generated intense debates in different spheres. Consequently, much research has attempted to identify the leading causes of this decline, and a multifactorial synergism (i.e., different stressors acting together and mutually potentiating the harmful effects) seems to be the emerging consensus explaining this phenomenon. The emphasis on some stressor groups such as agrochemicals, and pollinators such as the honey bee Apis mellifera, can hide the real risk of anthropogenic stressors on pollinating insects. In the present study, we conducted a systematic review of the literature to identify general and temporal trends in publications, considering the different groups of pollinators and their exposure to agrochemicals over the last 76 years. Through an artificial intelligence (AI)-aided meta-analysis, we quantitatively assessed trends in publications on bee groups and agrochemicals. Using AI tools through machine learning enabled efficient evaluation of a large volume of published articles. Toxicological assessment of the impact of agrochemicals on insect pollinators is dominated by the order Hymenoptera, which includes honey bees. Although honey bees are well-explored, there is a lack of published articles exploring the toxicological assessment of agrochemicals for bumble bees, solitary bees, and stingless bees. The data gathered provide insights into the current scenario of the risk of pollinator decline imposed by agrochemicals and serve to guide further research in this area. Systematic Review Registration: https://asreview.nl/. Copyright © 2022 Bernardes, Botina, Araújo, Guedes, Martins and Lima.</t>
  </si>
  <si>
    <t xml:space="preserve">Singh K.P.; Gupta S.; Basant N.; Mohan D.</t>
  </si>
  <si>
    <t xml:space="preserve">Pesticides are designed toxic chemicals for specific purposes and can harm nontarget species as well. The honey bee is considered a nontarget test species for toxicity evaluation of chemicals. Global QSTR (quantitative structure-toxicity relationship) models were established for qualitative and quantitative toxicity prediction of pesticides in honey bee (Apis mellifera) based on the experimental toxicity data of 237 structurally diverse pesticides. Structural diversity of the chemical pesticides and nonlinear dependence in the toxicity data were evaluated using the Tanimoto similarity index and Brock-Dechert-Scheinkman statistics. Probabilistic neural network (PNN) and generalized regression neural network (GRNN) QSTR models were constructed for classification (two and four categories) and function optimization problems using the toxicity end point in honey bees. The predictive power of the QSTR models was tested through rigorous validation performed using the internal and external procedures employing a wide series of statistical checks. In complete data, the PNN-QSTR model rendered a classification accuracy of 96.62% (two-category) and 95.57% (four-category), while the GRNN-QSTR model yielded a correlation (R2) of 0.841 between the measured and predicted toxicity values with a mean squared error (MSE) of 0.22. The results suggest the appropriateness of the developed QSTR models for reliably predicting qualitative and quantitative toxicities of pesticides in honey bee. Both the PNN and GRNN based QSTR models constructed here can be useful tools in predicting the qualitative and quantitative toxicities of the new chemical pesticides for regulatory purposes. © 2014 American Chemical Society.</t>
  </si>
  <si>
    <t xml:space="preserve">Fuadah Y.N.; Pramudito M.A.; Firdaus L.; Vanheusden F.J.; Lim K.M.</t>
  </si>
  <si>
    <t>26</t>
  </si>
  <si>
    <t xml:space="preserve">This study introduces an innovative computational approach using hybrid machine learning models to predict toxicity across eight critical end points: cardiac toxicity, inhalation toxicity, dermal toxicity, oral toxicity, skin irritation, skin sensitization, eye irritation, and respiratory irritation. Leveraging advanced cheminformatics tools, we extracted relevant features from curated data sets, incorporating a range of descriptors such as Morgan circular fingerprints, MACCS keys, Mordred calculation descriptors, and physicochemical properties. The consensus model was developed by selecting the best-performing classifier─Random Forest (RF), eXtreme Gradient Boosting (XGBoost), or Support Vector Machines (SVM)─for each descriptor, optimizing predictive accuracy and robustness across the end points. The model obtained strong predictive performance, with area under the curve (AUC) scores ranging from 0.78 to 0.90. This framework offers a reliable, ethical, and effective in silico approach to chemical safety assessment, underscoring the potential of advanced computational methods to support both regulatory and research applications in toxicity prediction. © 2024 The Authors. Published by American Chemical Society.</t>
  </si>
  <si>
    <t xml:space="preserve">Li X.; Zhang F.; Zheng L.; Guo J.</t>
  </si>
  <si>
    <t xml:space="preserve">The prediction of ecological toxicity plays an increasingly important role in modern society. However, the existing models often suffer from poor performance and limited predictive capabilities. In this study, we propose a novel approach for ecological toxicity assessment based on pre-trained models. By leveraging pre-training techniques and graph neural network models, we establish a highperformance predictive model. Furthermore, we incorporate a variational autoencoder to optimize the model, enabling simultaneous discrimination of toxicity to bees and molecular degradability. Additionally, despite the low similarity between the endogenous hormones in bees and the compounds in our dataset, our model confidently predicts that these hormones are non-toxic to bees, which further strengthens the credibility and accuracy of our model. We also discovered the negative correlation between the degradation and bee toxicity of compounds. In summary, this study presents an ecological toxicity assessment model with outstanding performance. The proposed model accurately predicts the toxicity of chemicals to bees and their degradability capabilities, offering valuable technical support to relevant fields. © 2024 Elsevier B.V.</t>
  </si>
  <si>
    <t xml:space="preserve">Phokasem P.; Disayathanoowat T.; Chantaphanwattana T.; Sinpoo C.; Chen Y.P.; Evans J.D.; Lee J.-H.; Krongdang S.</t>
  </si>
  <si>
    <t xml:space="preserve">Honey bees provide vital pollination services to agricultural crops and wild plants worldwide. Unfortunately, the misuse and overuse of pesticides in agricultural production have led to an increase in incidents harming honey bees in recent years. Among the commonly utilized bee species in beekeeping are Apis cerana and Apis mellifera, with wild A. cerana populations widely dispersed in forests, contributing substantially to ecosystem balance. Yet, the impact of paraquat, a toxic herbicide, on A. cerana remains largely unexplored. This study aims to address this gap by examining acute exposure endpoints based on mortality represented by median lethal doses (LD50 values) of paraquat, survival rates, and gene expression patterns between the A. cerana and A. mellifera. The findings revealed that A. cerana exhibits greater sensitivity to paraquat compared to A. mellifera. The acute oral LD50 values for A. cerana were 5.85, 1.74, and 1.21 μg/bee at 24, 48, and 72 h, respectively, whereas the corresponding values for A. mellifera were 104.00, 11.00, and 6.41 μg/bee. Further, the study demonstrated significant upregulation of the detoxification (antioxidative) enzymes SOD1, CAT, and LLDH-X2 in both A. mellifera and A. cerana following exposure to the lethal dose of paraquat. However, SOD2 expression was notably downregulated in both species, indicating potential mitochondrial damage. These findings suggest that while honey bees initiate activate defense mechanisms against oxidative damage, paraquat exposure may still impair mitochondrial function. Paraquat was found to be moderately toxic to A. mellifera but highly toxic to A. cerana, indicating the importance of screening multiple bee species when assessing the risks of chemical exposure. This research provides a rare comparative analysis of chemical stress effects on morbidity and gene expression in two different honey bee species, establishing a foundational framework for risk assessment and the regulation of herbicide risks to pollinating insects. © 2024 Elsevier Ltd</t>
  </si>
  <si>
    <t xml:space="preserve">Moura A.S.; Cordeiro M.N.D.S.</t>
  </si>
  <si>
    <t xml:space="preserve">Machine learning has become a central feature in the development or refinement of in silico methodologies and techniques. Quantitative structure-activity relationship (QSAR) models are no exception. In fact, one can consider there is a renaissance of QSAR techniques and respective reliability as there is a greater synergy between the two of them. Further, this new wave of QSAR + machine learning (ML) techniques allows new avenues in several fields of application, namely, when regarding cytotoxicity and/or ecotoxicity monitoring of nanoparticles (NPs). The latter is of major importance, as the challenges brought by environment management and the increasing concern it has on the food chain are met with expensive and overall slow experimental answers. Within this context, and alongside classical QSAR + machine learning techniques, recent QSAR perturbation-based models join methods with ML as well. The QSAR perturbation models feature the possibility of simultaneous modeling multi bio-targets versus NPs in different experimental conditions, thus offering practical solutions to classical QSAR + ML limitations. The use of in silico models could be the most feasible answer to the present and future scenarios of mandatory ecotoxicity monitorization for nanotechnology by-products. This chapter approaches the methodologies and fundamentals of classical and perturbation-based QSAR models within the environmental risk assessment framework, as scaffold to develop novel in silico techniques. © Springer Science+Business Media, LLC, part of Springer Nature 2020.</t>
  </si>
  <si>
    <t xml:space="preserve">Spyropoulos C.; Psevdos C.; Marcoulaki E.C.</t>
  </si>
  <si>
    <t xml:space="preserve">Nanomaterials (NM) have revolutionized modern science and technology due to their multiple applications in engineering, physics, chemistry, and biomedicine. Nevertheless, the manufacturing and use of NMs rises concerns in terms of their potential effects on human health and the environment. The EC has invested a significant amount of money for the studying of different NMs and the measurement of their toxicity. Within this framework there is an increasing interest for predictive tools, usually in the form of quantitative structure activity relationships (QSAR), to classify NMs according to their ecotoxic and cytotoxic effect. This work uses a large amount of experimental data to create a QSAR model for NM toxicity classification. We discuss the challenges behind this problem, and explain the need for advanced analytics in the form of machi ne learning (ML) algorithms to ensure high predictive capacity of the classifier models. The case studies present new machine learning tools, compare their performance against a well-established generalized linear model and demonstrate how these tools can support the reduction of experimental effort. Copyright © 2019 European Safety and Reliability Association.</t>
  </si>
  <si>
    <t xml:space="preserve">Bernardes R.C.; Botina L.L.; Ribas A.; Soares J.M.; Martins G.F.</t>
  </si>
  <si>
    <t>12</t>
  </si>
  <si>
    <t xml:space="preserve">Pesticide poisoning constantly threatens bees as they forage for resources in pesticide-treated crops. This poisoning requires thorough investigation to identify its causes, underscoring the importance of reliable pesticide detection methods for bee monitoring. Infrared spectroscopy provides reflectance data across hundreds of spectral bands (hyperspectral reflectance), presumably enabling the efficient classification of pesticide contamination in bee carcasses using artificial intelligence (AI) models, such as machine learning. In this study, bee contamination by commercial formulations of three insecticides—dimethoate (organophosphate), fipronil (phenylpyrazole), and imidacloprid (neonicotinoid)—as well as glyphosate, the most widely used herbicide globally, was detected using machine learning models. These models classified the hyperspectral reflectance profiles of the body surfaces of contaminated bees. The best-performing model, the linear discriminant analysis, achieved 98 % accuracy in discriminating contamination across species Apis mellifera, Melipona mondury, and Partamona helleri, with prediction speeds of 0.27 s. Our pioneering study introduced an effective method for discerning multiple classes of bees contaminated with pesticides using hyperspectral reflectance. An AI-driven spectral data analysis tool (https://github.com/bernardesrodrigoc/MACSS) was developed for the purpose of identifying and characterizing new samples through their spectral characteristics. This platform aids efforts to monitor and conserve bee populations and holds potential importance in environmental monitoring, agricultural research, and industrial quality control. © 2024 Elsevier B.V.</t>
  </si>
  <si>
    <t xml:space="preserve">Shi J.; Fantke P.; Jolliet O.</t>
  </si>
  <si>
    <t xml:space="preserve">Among the most crucial pollinators, managed honeybee (Apis mellifera) colonies frequently experience colony losses, which impose significant economic burdens on beekeeping and threaten the reliability of pollination services. Pesticide exposure is recognized as one stressor among others contributing to these losses. However, the curated harmonized dataset to characterize the impacts of multiple pesticides on different stages of honeybees is missing. To address this data gap, we generated an extensive and consistent honeybee ecotoxicity dataset of top (dermal)-acute 10% effective dose (ED10) and oral-chronic ED10 from the U. S. Environmental Protection Agency Ecotoxicology Knowledgebase (ECOTOX databases) for life cycle impact assessment (LCIA) and other comparative assessments. Primary harmonization and standardization were conducted to resolve inherent inconsistencies in life stages, exposure types, effect types, units, endpoints, and test types. Subsequently, weighted linear regressions were applied to extrapolate various endpoints to a harmonized ED10-equivalent (ED10eq), with R2 ranging from 0.38–0.99. The resulting integrated datasets comprise 540 chemicals across oral-chronic, oral-acute, and acute-topical exposure scenarios, consistently spanning approximately eight orders of magnitude for the adult groups and six orders of magnitude for the larval groups. Additionally, the relationship between adult and larva ecotoxicity data was analyzed, along with an uncertainty assessment for the oral-chronic and top-acute datasets, further enhancing the reliability and applicability of the harmonized data. These harmonized ecotoxicity datasets significantly enhance the LCIA framework by replacing the median effective dose (ED50) acute data with oral-chronic top-acute ED10 data, thus facilitating a more environmentally realistic assessment of pesticide impacts on honeybees. © The Author(s) 2026. Published by Oxford University Press on behalf of the Society of Environmental Toxicology and Chemistry. This is an Open Access article distributed under the terms of the Creative Commons Attribution License (https://creativecommons.org/licenses/by/4.0/), which permits unrestricted reuse, distribution, and reproduction in any medium, provided the original work is properly cited.</t>
  </si>
  <si>
    <t xml:space="preserve">Toukak A.S.; Gao W.; Chang X.; Li N.; Chen G.</t>
  </si>
  <si>
    <t xml:space="preserve">Pesticides are essential for crop protection, but their potential toxicity poses significant environmental and health risks. Although numerous toxicological studies have been conducted, accurately predicting pesticide phytotoxicity remains challenging due to the complex interactions between molecular properties and environmental factors. Current predictive models, such as quantitative structure-activity relationship (QSAR) approaches, often rely predominantly on molecular descriptors, neglecting the influence of contextual environmental conditions. This study addresses this gap by developing an explainable machine learning (ML) framework for predicting pesticide phytotoxicity (EC50) that integrates molecular descriptors, quantum chemical descriptors (QCDs), and experimental conditions. This integration of intrinsic chemical properties and contextual environmental factors not only enhanced predictive accuracy but also provided crucial model interpretability, moving beyond traditional black-box approaches. Using a carefully curated dataset from seed germination and growth inhibition assays across diverse plant species and media types, XGBoost demonstrated superior performance, achieving an R2 of 0.69 and RMSE of 0.80 in 10-fold cross-validation, and an R2 of 0.75 and RMSE of 0.81 in external validation. Model interpretability was explored using Shapley Additive Explanations (SHAP), partial dependence plots (PDPs), and two-dimensional PDPs, revealing that exposure duration, log Koc, and water solubility were key determinants of phytotoxicity. Local SHAP analysis confirmed the mechanistic consistency of our model with established toxicological principles, showing how contextual exposure factors modulate compound-specific toxicity outcomes. Overall, this study demonstrates that interpretable ML models can enhance ecotoxicological assessments by combining predictive accuracy with mechanistic insights, offering a valuable tool for environmental monitoring, sustainable pesticide regulation, and agricultural wastewater reuse. © 2025 Elsevier Inc.</t>
  </si>
  <si>
    <t xml:space="preserve">Barros R.P.C.; Sousa N.F.; Scotti L.; Scotti M.T.</t>
  </si>
  <si>
    <t xml:space="preserve">In recent years, there has been an increase in concern about environmental pollution and human health, especially in the areas of manufacturing, storage, distribution, and release of hazardous substances after use. Several researchers have been dedicating studies to develop methods to identify and assess the toxicity of chemicals. Quantitative structure-activity relationship (QSAR) modeling has evolved a lot in recent years and also developed in the area of ecotoxicology. In the course of this evolution, there was the application of machine learning techniques in QSAR studies. The use of ML algorithms is a great approach for assessing toxicity to generate predictive models involving QSAR. Several studies are being conducted not only comparing ML techniques but applying them to generate potentially predictive models and excellent performances. © Springer Science+Business Media, LLC, part of Springer Nature 2020.</t>
  </si>
  <si>
    <t xml:space="preserve">Yang Z.; Wang H.; Song M.; Tian B.; Sun W.; Wei J.; Wu J.</t>
  </si>
  <si>
    <t xml:space="preserve">Isoxazoline pesticides, such as fluxametamide, while effective against parasites and pests, pose a severe environmental threat due to their high toxicity to honeybees – critical pollinators essential for ecosystem health and food security. Existing predictive platforms fail to accurately assess this risk for isoxazolines due to critical data gaps. To address this issue, we developed BeeSafe 2.0, an innovative deep learning model uniquely integrating graph neural networks (GGHT) and residual networks (ResNet) architecture, further enhanced by new training set. BeeSafe 2.0 demonstrates superior predictive performance, specifically overcoming previous limitations for isoxazolines, and provides an accessible online server (www.beesafe.top) for chemical bee toxicity assessment. Crucially, leveraging BeeSafe 2.0, we discovered WT-02, a novel isoxazoline insecticide exhibiting potent efficacy against diverse pests while displaying dramatically reduced bee toxicity (only 1/18 of that for fluxametamide). This work presents a transformative “new architecture–new data–application” approach, offering a powerful tool for environmental risk management of pesticides and enabling the discovery of truly bee-safe, greener alternatives to safeguard pollinator health and promote sustainable agriculture. © 2025 American Chemical Society</t>
  </si>
  <si>
    <t xml:space="preserve">Balraadjsing S.; Peijnenburg W.J.G.M.; Vijver M.G.</t>
  </si>
  <si>
    <t xml:space="preserve">Engineered nanomaterials (ENMs) are ubiquitous nowadays, finding their application in different fields of technology and various consumer products. Virtually any chemical can be manipulated at the nano-scale to display unique characteristics which makes them appealing over larger sized materials. As the production and development of ENMs have increased considerably over time, so too have concerns regarding their adverse effects and environmental impacts. It is unfeasible to assess the risks associated with every single ENM through in vivo or in vitro experiments. As an alternative, in silico methods can be employed to evaluate ENMs. To perform such an evaluation, we collected data from databases and literature to create classification models based on machine learning algorithms in accordance with the principles laid out by the OECD for the creation of QSARs. The aim was to investigate the performance of various machine learning algorithms towards predicting a well-defined in vivo toxicity endpoint (Daphnia magna immobilization) and also to identify which features are important drivers of D. magna in vivo nanotoxicity. Results indicated highly comparable model performance between all algorithms and predictive performance exceeding ∼0.7 for all evaluated metrics (e.g. accuracy, sensitivity, specificity, balanced accuracy, Matthews correlation coefficient, area under the receiver operator characteristic curve). The random forest, artificial neural network, and k-nearest neighbor models displayed the best performance but this was only marginally better compared to the other models. Furthermore, the variable importance analysis indicated that molecular descriptors and physicochemical properties were generally important within most models, while features related to the exposure conditions produced slightly conflicting results. Lastly, results also indicate that reliable and robust machine learning models can be generated for in vivo endpoints with smaller datasets. © 2022 The Authors</t>
  </si>
  <si>
    <t xml:space="preserve">Wang F.; Yang J.-F.; Wang M.-Y.; Jia C.-Y.; Shi X.-X.; Hao G.-F.; Yang G.-F.</t>
  </si>
  <si>
    <t>122</t>
  </si>
  <si>
    <t xml:space="preserve">The impact of pesticides on insect pollinators has caused worldwide concern. Both global bee decline and stopping the use of pesticides may have serious consequences for food security. Automated and accurate prediction of chemical poisoning of honey bees is a challenging task owing to a lack of understanding of chemical toxicity and introspection. Deep learning (DL) shows potential utility for general and highly variable tasks across fields. Here, we developed a new DL model of deep graph attention convolutional neural networks (GACNN) with the combination of undirected graph (UG) and attention convolutional neural networks (ACNN) to accurately classify chemical poisoning of honey bees. We used a training dataset of 720 pesticides and an external validation dataset of 90 pesticides, which is one order of magnitude larger than the previous datasets. We tested its performance in two ways: poisonous versus non-poisonous and GACNN versus other frequently-used machine learning models. The first case represents the accuracy in identifying bee poisonous chemicals. The second represents performance advantages. The GACNN achieved ~6% higher performance for predicting toxic samples and more stable with ~7% Matthews Correlation Coefficient (MCC) higher compared to all tested models, demonstrating GACNN is capable of accurately classifying chemicals and has considerable potential in practical applications. In addition, we also summarized and evaluated the mechanisms underlying the response of honey bees to chemical exposure based on the mapping of molecular similarity. Moreover, our cloud platform (http://beetox.cn) of this model provides low-cost universal access to information, which could vitally enhance environmental risk assessment. © 2020 Science China Press</t>
  </si>
  <si>
    <t xml:space="preserve">Pashte V.V.; Patil C.S.</t>
  </si>
  <si>
    <t>24</t>
  </si>
  <si>
    <t xml:space="preserve">Bees are potential pollinators of wide variety of crops. The European dark bee, Apis mellifera mellifera (L.) is widely used for crop pollination. However, pesticide usage in modern agriculture has threatened the plant-bee pollinator interaction. There is lack of data regarding lethal time, insecticide concentration and poisoning symptoms, especially for formulated insecticides that are widely used in insect management. This study shows that the intrinsic toxicity of insecticides (LC50) to A. mellifera mellifera (L.) was in the following order: imidacloprid (0.0070) &gt; fipronil (0.0125) &gt; indoxacarb (0.0266) &gt; cypermethrin (0.0370) &gt; dimethoate (0.0385). The lethal time (LT50) values (h) in the ascending order of toxicity of insecticides were as follows: fipronil (6.56), cypermethrin (6.69), dimethoate (8.00), imidacloprid (9.85) and indoxacarb (13.45). Distinct poisoning symptoms observed in A. mellifera mellifera were extended proboscis, expanded wings, unhooked wings, extended legs and twisted bodies, defecation on cage covers, sting in release-out position and anus with excreta. All the tested pesticides are harmful to the honey bee except azadirachtin. The tested pesticides exhibited different poisoning symptoms in bees, which could be useful for beekeepers in identifying the cause of colony mortality. In conclusion, the pesticide toxicological research on bees is an important safety aspect for beneficial organisms. This study reveals a realistic acute toxicity in the field of commonly used insecticides. The information is important for insecticide selection in order to minimize direct killing of foraging honey bees while maintaining effective management of crop pests. © 2018 by the Serbian Biological Society.</t>
  </si>
  <si>
    <t xml:space="preserve">Miao C.; Zu C.; Guo X.; Xin L.; Liang R.; Ma R.; Wang Y.; Cui P.</t>
  </si>
  <si>
    <t xml:space="preserve">Ionic liquids (ILs) are widely used as low-volatility, structurally tunable green solvents, but their potential toxicity issues cannot be ignored. To address the limitations of traditional experimental testing methods, this study established a toxicity prediction model based on machine learning. We extracted chemical descriptors from SMILES representations using RDKit, optimized model performance through feature engineering, and employed three algorithms—random forest (RF), multi-layer perceptron (MLP), and convolutional neural network (CNN) algorithms to construct toxicity prediction models for Vibrio fischeri (V. fischeri), acetylcholinesterase (AChE), and the leukemia rat cell line (ICP-81), respectively. The evaluation results showed that the toxicity prediction for V. fischeri was the most effective, with the MLP-V. fischeri model performing exceptionally well (R2 = 0.9819, MSE = 0.02593). However, the toxicity prediction performance for AChE was poor, and there was a significant performance difference between the training set and the test set. To gain a deeper understanding of this phenomenon, this study combined SHAP (Shapley Additive exPlanations) interpretability analysis and electrostatic potential (ESP) calculations for collaborative validation, exploring the toxicity mechanisms from two dimensions: machine learning interpretability and quantum chemical calculations. SHAP analysis quantified the contribution and direction of molecular structural features to toxicity prediction, while ESP calculations revealed the structure–activity relationship between cation and anion structural features and AChE toxicity from an electronic structure perspective, providing new theoretical insights into the toxicity mechanisms of ionic liquids. © 2025 Elsevier Ltd</t>
  </si>
  <si>
    <t xml:space="preserve">Pramudito M.A.; Fuadah Y.N.; Qauli A.I.; Marcellinus A.; Lim K.M.</t>
  </si>
  <si>
    <t xml:space="preserve">The Comprehensive In-vitro Proarrhythmia Assay (CiPA) initiative aims to refine the assessment of drug-induced torsades de pointes (TdP) risk, utilizing computational models to predict cardiac drug toxicity. Despite advancements in machine learning applications for this purpose, the specific contribution of in-silico biomarkers to toxicity risk levels has yet to be thoroughly elucidated. This study addresses this gap by implementing explainable artificial intelligence (XAI) to illuminate the impact of individual biomarkers in drug toxicity prediction. We employed the Markov chain Monte Carlo method to generate a detailed dataset for 28 drugs, from which twelve in-silico biomarkers of 12 drugs were computed to train various machine learning models, including Artificial Neural Networks (ANN), Support Vector Machines (SVM), Random Forests (RF), XGBoost, K-Nearest Neighbors (KNN), and Radial Basis Function (RBF) networks. Our study’s innovation is leveraging XAI, mainly through the SHAP (SHapley Additive exPlanations) method, to dissect and quantify the contributions of biomarkers across these models. Furthermore, the model performance was evaluated using the test set from 16 drugs. We found that the ANN model coupled with the eleven most influential in-silico biomarkers namely dVmdtrepol,dVmdtmax,APD90,APD50,APDtri,CaD90,CaD50,Catri,CaDiastole,qInward,andqNet showed the highest classification performance among all classifiers with Area Under the Curve (AUC) scores of 0.92 for predicting high-risk, 0.83 for intermediate-risk, and 0.98 for low-risk drugs. We also found that the optimal in silico biomarkers selected based on SHAP analysis may be different for various classification models. However, we also found that the biomarker selection only sometimes improved the performance; therefore, evaluating various classifiers is still essential to obtain the desired classification performance. Our proposed method could provide a systematic way to assess the best classifier with the optimal in-silico biomarkers for predicting the TdP risk of drugs, thereby advancing the field of cardiac safety evaluations. © The Author(s) 2024.</t>
  </si>
  <si>
    <t xml:space="preserve">Belfield S.J.; Cronin M.T.D.; Enoch S.J.; Firman J.W.</t>
  </si>
  <si>
    <t>42</t>
  </si>
  <si>
    <t xml:space="preserve">Recent years have seen a substantial growth in the adoption of machine learning approaches for the purposes of quantitative structure-activity relationship (QSAR) development. Such a trend has coincided with desire to see a shifting in the focus of methodology employed within chemical safety assessment: away from traditional reliance upon animalintensive in vivo protocols, and towards increased application of in silico (or computational) predictive toxicology. With QSAR central amongst techniques applied in this area, the emergence of algorithms trained through machine learning with the objective of toxicity estimation has, quite naturally, arisen. On account of the pattern-recognition capabilities of the underlying methods, the statistical power of the ensuing models is potentially considerable- appropriate for the handling even of vast, heterogeneous datasets. However, such potency comes at a price: this manifesting as the general practical deficits observed with respect to the reproducibility, interpretability and generalisability of the resulting tools. Unsurprisingly, these elements have served to hinder broader uptake (most notably within a regulatory setting). Areas of uncertainty liable to accompany (and hence detract from applicability of) toxicological QSAR have previously been highlighted, accompanied by the forwarding of suggestions for "best practice"aimed at mitigation of their influence. However, the scope of such exercises has remained limited to "classical"QSAR-that conducted through use of linear regression and related techniques, with the adoption of comparatively few features or descriptors. Accordingly, the intention of this study has been to extend the remit of best practice guidance, so as to address concerns specific to employment of machine learning within the field. In doing so, the impact of strategies aimed at enhancing the transparency (feature importance, feature reduction), generalisability (cross-validation) and predictive power (hyperparameter optimisation) of algorithms, trained upon real toxicity data through six common learning approaches, is evaluated.  © 2023 Belfield et al.</t>
  </si>
  <si>
    <t xml:space="preserve">Miotelo L.; Mendes dos Reis A.L.; Malaquias J.B.; Malaspina O.; Roat T.C.</t>
  </si>
  <si>
    <t xml:space="preserve">Apis mellifera is a pollinator insect model in pesticide risk assessment tests for bees. However, given the economic and ecological importance of stingless bees such as Melipona scutellaris in the Neotropical region, as well as the lack of studies on the effect of insecticides on these bees, toxicity tests for stingless bees should be carried out to understand whether insecticides affect both species of bees in the same manner. Thus, the present study quantified the differential sensitivity of the bees M. scutellaris and A. mellifera to the oral ingestion of the insecticide thiamethoxam by determining the mean lethal concentration (LC50), mean lethal time (LT50), and their effect on the insecticide target organ, the brain. The results showed that the stingless bee is more sensitive to the insecticide than A. mellifera, with a lower LC50 of 0.0543 ng active ingredient (a.i.)/μL for the stingless bee compared to 0.227 ng a.i./μL for A. mellifera. When exposed to a sublethal concentration, morphological and ultrastructural analyses were performed and evidenced a significant increase in spaces between nerve cells of both species. Thus, A. mellifera is not the most appropriate or unique model to determine the toxicity of insecticides to stingless bees. © 2020 Elsevier Ltd</t>
  </si>
  <si>
    <t xml:space="preserve">Adamczyk J.</t>
  </si>
  <si>
    <t xml:space="preserve">This research focuses on rational pesticide design, using graph machine learning to accelerate the development of safer, eco-friendly agrochemicals, inspired by in silico methods in drug discovery. With an emphasis on ecotoxicology, the initial contributions include the creation of ApisTox, the largest curated dataset on pesticide toxicity to honey bees. We conducted a broad evaluation of machine learning (ML) models for molecular graph classification, including molecular fingerprints, graph kernels, GNNs, and pretrained transformers. The results show that methods successful in medicinal chemistry often fail to generalize to agrochemicals, underscoring the need for domain-specific models and benchmarks. Future work will focus on developing a comprehensive benchmarking suite and designing ML models tailored to the unique challenges of pesticide discovery. © 2025 Copyright held by the owner/author(s).</t>
  </si>
  <si>
    <t xml:space="preserve">Votano J.R.; Parham M.; Hall L.H.; Kier L.B.; Oloff S.; Tropsha A.; Xie Q.; Tong W.</t>
  </si>
  <si>
    <t>159</t>
  </si>
  <si>
    <t xml:space="preserve">Three QSAR methods, artificial neural net (ANN), k-nearest neighbors (kNN), and Decision Forest (DF), were applied to 3363 diverse compounds tested for their Ames genotoxicity. The ratio of mutagens to non-mutagens was 60/40 for this dataset. This group of compounds includes &gt;300 therapeutic drugs. All models were developed using the same initial set of 148 topological indices: molecular connectivity X indices and electrotopological state indices (atom-type, bond-type and group-type E-state), as well as binary indicators. While previous studies have found logP to be a determining factor in genotoxicity, it was not found to be important by any modeling method employed in this study. The three models yielded an average training/test concordance value of 88%, with a low percentage of false positives and false negatives. External validation testing on 400 compounds not used for QSAR model development gave an average concordance of 82%. This value increased to 92% upon removal of less reliable outcomes, as determined by a reliability criterion used within each model. The ANN model showed the best performance in predicting drug compounds, yielding 97% concordance (34/35 drugs) after the removal of less reliable predictions. The appreciable commonality found among the top 10 ranked descriptors from each model is of particular interest because of the diversity in the learning algorithms and descriptor selection techniques employed in this study. Forty percent of the most important descriptors in any one model are found in one or two other models. Fourteen of the most important descriptors relate directly to known toxicophores involved in potent genotoxic responses in Salmonella typhimurium. A comparison of the validation results with those of MULTICASE and DEREK indicated that the new models presented in this work perform substantially better than the former models in predicting genotoxicity of therapeutic drugs. Substantially higher specificity was achieved with these new models as compared with MULTICASE or DEREK with comparable sensitivities among all models. © UK Environmental Mutagen Society 2004; all rights reserved.</t>
  </si>
  <si>
    <t xml:space="preserve">Tian H.; Ketkar R.; Tao P.</t>
  </si>
  <si>
    <t>95</t>
  </si>
  <si>
    <t xml:space="preserve">The absorption, distribution, metabolism, excretion, and toxicity (ADMET) properties are important in drug discovery as they define efficacy and safety. In this work, we applied an ensemble of features, including fingerprints and descriptors, and a tree-based machine learning model, extreme gradient boosting, for accurate ADMET prediction. Our model performs well in the Therapeutics Data Commons ADMET benchmark group. For 22 tasks, our model is ranked first in 18 tasks and top 3 in 21 tasks. The trained machine learning models are integrated in ADMETboost, a web server that is publicly available at https://ai-druglab.smu.edu/admet. © 2022, The Author(s), under exclusive licence to Springer-Verlag GmbH Germany, part of Springer Nature.</t>
  </si>
  <si>
    <t xml:space="preserve">Liu Y.; Lim H.; Xie L.</t>
  </si>
  <si>
    <t xml:space="preserve">Background: Drug discovery is time-consuming and costly. Machine learning, especially deep learning, shows great potential in quantitative structure–activity relationship (QSAR) modeling to accelerate drug discovery process and reduce its cost. A big challenge in developing robust and generalizable deep learning models for QSAR is the lack of a large amount of data with high-quality and balanced labels. To address this challenge, we developed a self-training method, Partially LAbeled Noisy Student (PLANS), and a novel self-supervised graph embedding, Graph-Isomorphism-Network Fingerprint (GINFP), for chemical compounds representations with substructure information using unlabeled data. The representations can be used for predicting chemical properties such as binding affinity, toxicity, and others. PLANS-GINFP allows us to exploit millions of unlabeled chemical compounds as well as labeled and partially labeled pharmacological data to improve the generalizability of neural network models. Results: We evaluated the performance of PLANS-GINFP for predicting Cytochrome P450 (CYP450) binding activity in a CYP450 dataset and chemical toxicity in the Tox21 dataset. The extensive benchmark studies demonstrated that PLANS-GINFP could significantly improve the performance in both cases by a large margin. Both PLANS-based self-training and GINFP-based self-supervised learning contribute to the performance improvement. Conclusion: To better exploit chemical structures as an input for machine learning algorithms, we proposed a self-supervised graph neural network-based embedding method that can encode substructure information. Furthermore, we developed a model agnostic self-training method, PLANS, that can be applied to any deep learning architectures to improve prediction accuracies. PLANS provided a way to better utilize partially labeled and unlabeled data. Comprehensive benchmark studies demonstrated their potentials in predicting drug metabolism and toxicity profiles using sparse, noisy, and imbalanced data. PLANS-GINFP could serve as a general solution to improve the predictive modeling for QSAR modeling. © 2022, The Author(s).</t>
  </si>
  <si>
    <t xml:space="preserve">Jia J.; Yang X.; Fang Y.; Su H.; Zhao Q.</t>
  </si>
  <si>
    <t xml:space="preserve">The rising levels of chemical pollutants in aquatic ecosystems threaten biodiversity and demand improved methods for assessing ecological risk. Recent deep learning methods advance molecular toxicity prediction but still suffer from limited generalisation, interpretability and robustness under data scarcity. To address these issues, we propose ADFC-ATP, a framework that integrates dual-view molecular graph fusion with contrastive topology learning based on NT-Xent loss. Our approach uses structural graph augmentations during pretraining to enhance robustness, while a graph attention encoder learns hierarchical substructure patterns through masked feature reconstruction. For downstream aquatic toxicity prediction, an adaptive attention-based fusion mechanism dynamically combines pretrained graph embeddings and fingerprint similarity metrics, enabling more accurate and robust toxicity assessment. Experimental results show that on four fish toxicity datasets, the AUC of ADFC-ATP achieves an average relative improvement of approximately 10.2% compared to two classic graph neural network baseline models: single-task graph convolutional network (GCN-ST) and multi-task graph convolutional network (GCN-MT). Ablation and attention weight visualisation confirm the critical roles of scaffold preservation and contrastive regularisation, and highlight our model's ability to identify toxicoph ores consistent with QSAR principles. ADFC-ATP thus provides a robust, interpretable, and computationally efficient tool for predicting toxicity of emerging aquatic contaminants, offering a valuable complement to traditional laboratory testing. ADFC-ATP is freely available at https://github.com/zhaoqi106/ADFC-ATP. © 2026 The Author(s). Journal of Cellular and Molecular Medicine published by Foundation for Cellular and Molecular Medicine and John Wiley &amp; Sons Ltd.</t>
  </si>
  <si>
    <t xml:space="preserve">Pang S.-K.</t>
  </si>
  <si>
    <t xml:space="preserve">Background: Quantum chemical methods and molecular mechanics approaches face a lot of challenges in drug metabolism study because of either insufficient accuracy, huge computational cost, or lack of clear molecular level pictures for building computational models. Low-cost QSAR methods can often be carried out, even though molecular level pictures are not well defined; however, they show difficulty in identifying the mechanisms of drug metabolism and delineating the effects of chemical structures on drug toxicity because a certain amount of molecular descriptors are difficult to be interpreted. Objective: In order to make a breakthrough of QSAR, mechanistically interpretable molecular descriptors were used to correlate with biological activity to establish structure-activity plots. The biological activity is the lethality of anthracycline anticancer antibiotics denoted as log LD                             50                             . The mechanistically interpretable molecular descriptors include electrophilicity and the mathematical function in the London formula for dispersion interaction. Method: The descriptors were calculated using quantum chemical methods. Results: The plots for electrophilicity, which is interpreted as redox reactivity of anthracyclines, can describe oxidative degradation for detoxification and reductive bioactivation for toxicity induction. The plots for the dispersion interaction function, which represents the attraction between anthracyclines and biomolecules, can describe efflux from and influx into the target cells of toxicity. The plots can also identify three structural scaffolds of anthracyclines that have different metabolic pathways, resulting in their different toxicity behavior. Conclusion: This structure-dependent toxicity behavior revealed in the plots can provide perspectives on drug design and drug metabolism study.                          © 2018 Bentham Science Publishers.</t>
  </si>
  <si>
    <t xml:space="preserve">Jeong J.; Choi J.</t>
  </si>
  <si>
    <t>135</t>
  </si>
  <si>
    <t xml:space="preserve">Recently, research on the development of artificial intelligence (AI)-based computational toxicology models that predict toxicity without the use of animal testing has emerged because of the rapid development of computer technology. Various computational toxicology techniques that predict toxicity based on the structure of chemical substances are gaining attention, including the quantitative structure-activity relationship. To understand the recent development of these models, we analyzed the databases, molecular descriptors, fingerprints, and algorithms considered in recent studies. Based on a selection of 96 papers published since 2014, we found that AI models have been developed to predict approximately 30 different toxicity end points using more than 20 toxicity databases. For model development, molecular access system and extended-connectivity fingerprints are the most commonly used molecular descriptors. The most used algorithm among the machine learning techniques is the random forest, while the most used algorithm among the deep learning techniques is a deep neural network. The use of AI technology in the development of toxicity prediction models is a new concept that will aid in achieving a scientific accord and meet regulatory applications. The comprehensive overview provided in this study will provide a useful guide for the further development and application of toxicity prediction models. © 2022 American Chemical Society. All rights reserved.</t>
  </si>
  <si>
    <t xml:space="preserve">Papa E.; Villa F.; Gramatica P.</t>
  </si>
  <si>
    <t xml:space="preserve">The use of Quantitative Structure-Activity Relationships in assessing the potential negative effects of chemicals plays an important role in ecotoxicology. (LC50)96h in Pimephales promelas (Duluth database) is widely modeled as an aquatic toxicity end-point. The object of this study was to compare different molecular descriptors in the development of new statistically validated QSAR models to predict the aquatic toxicity of chemicals classified according to their MOA and in a unique general model. The applied multiple linear regression approach (ordinary least squares) is based on theoretical molecular descriptor variety (ID, 2D, and 3D, from DRAGON package, and some calculated logP). The best combination of modeling descriptors was selected by the Genetic Algorithm-Variable Subset Selection procedure. The robustness and the predictive performance of the proposed models was verified using both internal (cross-validation by LOO, bootstrap, Y-scrambling) and external statistical validations (by splitting the original data set into training and validation sets by Kohonen-artificial neural networks (K-ANN)). The model applicability domain (AD) was checked by the leverage approach to verify prediction reliability. © 2005 American Chemical Society.</t>
  </si>
  <si>
    <t xml:space="preserve">Schmidt F.; Wenzel J.; Halland N.; Güssregen S.; Delafoy L.; Czich A.</t>
  </si>
  <si>
    <t xml:space="preserve">One of the most appreciated capabilities of computational toxicology is to support the design of pharmaceuticals with reduced toxicological hazard. To this end, we have strengthened our drug photosafety assessments by applying novel computer models for the anticipation of in vitro phototoxicity and human photosensitization. These models are typically used in pharmaceutical discovery projects as part of the compound toxicity assessments and compound optimization methods. To ensure good data quality and aiming at models with global applicability we separately compiled and curated highly chemically diverse data sets from 3T3 NRU phototoxicity reports (450 compounds) and clinical photosensitization alerts (1419 compounds) which are provided as supplements. The latter data gives rise to a comprehensive list of explanatory fragments for visual guidance, termed phototoxophores, by application of a Bayesian statistics approach. To extend beyond the domain of well sampled fragments we applied machine learning techniques based on explanatory descriptors such as pharmacophoric fingerprints or, more important, accurate electronic energy descriptors. Electronic descriptors were extracted from quantum chemical computations at the density functional theory (DFT) level. Accurate UV/vis spectral absorption descriptors and pharmacophoric fingerprints turned out to be necessary for predictive computer models, which were both derived from Deep Neural Networks but also the simpler Random Decision Forests approach. Model accuracies of 83-85% could typically be reached for diverse test data sets and other company in-house data, while model sensitivity (the capability of correctly detecting toxicants) was even better, reaching 86%-90%. Importantly, a computer model-triggered response-map allowed for graphical/chemical interpretability also in the case of previously unknown phototoxophores. The photosafety models described here are currently applied in a prospective manner for the hazard identification, prioritization, and optimization of newly designed molecules. © 2019 American Chemical Society.</t>
  </si>
  <si>
    <t xml:space="preserve">Stefaniak F.</t>
  </si>
  <si>
    <t xml:space="preserve">This study presents a comprehensive machine learning approach for predicting the percent displacement of ANSA from human transthyretin (TTR) at fixed assay conditions as defined in the Tox24 Challenge. TTR is a critical serum transport protein for thyroid hormones, and its disruption by environmental chemicals can lead to endocrine system dysregulation with serious developmental and metabolic consequences. However, the scarcity of large, chemically diverse data sets and the lack of standardized experimental protocols have limited the computational prediction of TTR binding, restricting the development of robust predictive models applicable to broad chemical spaces. The described pipeline uses computationally efficient, low-dimensional (0D–2D) molecular descriptors and fingerprints. This eliminates the need for costly 3D conformational analysis. Following the systematic benchmarking of individual machine learning (ML) methods, hyperparameter optimization was performed using Optuna for two gradient boosting algorithms: CatBoost and XGBoost. The feature importance analysis revealed complementary learning strategies between these algorithms. The proposed consensus model achieved an RMSE of 21.60 on the blind test set, ranking 15th among 79 participating teams. Chemical space analysis using PCA and t-SNE confirmed that, except for two outliers, the test compounds fell within the distribution for the training set. Postchallenge analyses evaluated the effect of the cross-validation strategy (random vs cluster-based split) and descriptor dimensionality (2D-only, 3D-only, or mixed) on model performance. To facilitate broader adoption, a freely accessible web server was developed, enabling rapid toxicity prediction across multiple Tox21 and Tox24 end points without requiring computational expertise (https://toxpred.genesilico.pl/). This work demonstrates that low-dimensional molecular descriptors combined with optimized consensus ML methods can achieve competitive predictive performance, making high-throughput toxicity screening practical for drug discovery, environmental risk assessment, and regulatory decision-making. © 2026 The Author. Published by American Chemical Society</t>
  </si>
  <si>
    <t xml:space="preserve">Park J.; Lee W.H.</t>
  </si>
  <si>
    <t xml:space="preserve">Per-and polyfluoroalkyl substances (PFAS) are trace hazardous chemicals that accumulate in the human body and ecosystems, necessitating improved tools for toxicity assessment. This study developed machine learning (ML) models to predict PFAS toxicity using molecular descriptors derived from the simplified molecular input line entry system (SMILES) representations and computed with RDKit. Four ML algorithms, extreme gradient boosting machine (XGBoost), support vector machine (SVM), deep neural networks (DNN), and decision tree (DT), were evaluated, yielding AUROC values of 0.810, 0.817, 0.792, and 0.743, respectively, and average precision values of 0.610, 0.660, 0.584, and 0.443. These results demonstrate that ML models can reliably predict PFAS toxicity. To enhance interpretability, Shapley additive explanations (SHAP) were applied to the XGBoost to quantify the influence of individual molecular descriptors. Molecular weight (MolWt) was identified as the most influential variable, followed by the number of-CF2 groups in the molecule. These findings were consistent with observed data distributions, indicating that the model effectively captured meaningful structure-toxicity relationships. Functional-group-level similarity maps were also generated to visualize how specific substructures affect toxicity predictions, providing complementary insight into model decision pathways. Overall, integrating ML with explainable AI enhanced the transparency, interpretation, and applicability in PFAS toxicity assessment. © 2025 Korean Society of Environmental Engineers.</t>
  </si>
  <si>
    <t xml:space="preserve">Wasswa J.; Barsainyan A.A.</t>
  </si>
  <si>
    <t xml:space="preserve">Machine learning is increasingly applied in environmental chemistry for contaminant screening and property prediction, yet consistent benchmarks are lacking. We compared eight graph neural networks (GNNs) and nine conventional learning algorithms combined with five molecular descriptor and fingerprint sets across 11 physicochemical and environmental fate properties from the U.S. EPA PHYSPROP database. Data set sizes ranged from 10,652 compounds for LogP to 150 for half-life (LogHL) with evaluation under both random and scaffold splits. Model accuracy depended primarily on data set size and molecular representation. For end points containing fewer than ∼1,000 compounds, descriptor-based models using RDKit or Mordred features with LightGBM, CatBoost, or Random Forest matched or outperformed GNNs while requiring less training time. For larger data sets, GNNs achieved comparable or higher accuracy. A composite ranking that integrated accuracy, error, and computational cost identified LightGBM with RDKit descriptors as the most effective overall configuration. Feature attribution analyses confirmed that both descriptor and graph models captured chemically interpretable structure–property relationships. These results provide practical guidance, showing that descriptor models are best suited for small to moderate data sets or applications requiring transparency and high throughput, whereas graph models become advantageous as data scale increases or when richer molecular context is needed. © 2025 American Chemical Society</t>
  </si>
  <si>
    <t xml:space="preserve">Khan K.; Benfenati E.; Roy K.</t>
  </si>
  <si>
    <t>132</t>
  </si>
  <si>
    <t xml:space="preserve">In the present work, quantitative structure-activity relationship (QSAR) models have been developed for ecotoxicity of pharmaceuticals on four different aquatic species namely Pseudokirchneriella subcapitata, Daphnia magna, Oncorhynchus mykiss and Pimephales promelas using genetic algorithm (GA) for feature selection followed by Partial Least Squares regression technique according to the Organization for Economic Co-operation and Development (OECD) guidelines. Double cross-validation methodology was employed for selecting suitable models. Only 2D descriptors were used for capturing chemical information and model building, whereas validation of the models was performed by considering various stringent internal and external validation metrics. Interestingly, models could be developed even without using any LogP terms in contrary to the usual dependence of toxicity on lipophilicity. However, the current manuscript proposes highly robust and more predictive models employing computed logP descriptors. The applicability domain study was performed in order to set a predefined chemical zone of applicability for the obtained QSAR models, and the test compounds falling outside the domain were not taken for further analysis while making a prioritized list. An additional comparison was made with ECOSAR, an online expert system for toxicity prediction of organic pollutants, in order to prove predictability of the obtained models. The obtained robust consensus models were utilized to predict the toxicity of a large dataset of approximately 9300 drug-like molecules in order to prioritize the existing drug-like substances in accordance to their acute predicted aquatic toxicities following a scaling technique. Finally, prioritized lists of 500 most toxic chemicals obtained by respective consensus models and those predicted from ECOSAR tool have been reported. © 2018 Elsevier Inc.</t>
  </si>
  <si>
    <t xml:space="preserve">Çeli̇k F.K.; Doğan S.</t>
  </si>
  <si>
    <t xml:space="preserve">Toxic industrial chemicals (TICs) are dual-use agents with potential for immediate and lethal inhalation toxicity upon exposure. This study first introduced the Descriptor-Engineered Transition to Non-Toxicity via QSAR (DETOX-QSAR) model, a tool for predicting and designing out the acute inhalation toxicity of TICs. We aimed to proactively prevent adverse effects by addressing safety concerns early in the molecular design phase. Inhalation toxicity was modeled using Support Vector Machine (SVM), Random Forest (RF), Extreme Gradient Boosting (XGBoost), and Categorical Boosting (CatBoost) via consensus feature engineering. SHapley Additive exPlanations (SHAP) findings indicate that nX and minwHBa play a decisive role in prediction. Arsine was identified as the highest-risk pilot compound via Multi-Criteria Decision Making (MCDM) for the modification process. Guided by the local SHAP method, descriptor values of Arsine were gradually modified until toxicity was eliminated. This explainable artificial intelligence (XAI) approach advances green toxicology, enhancing international security against the growing chemical industry. © The Author(s) 2026.</t>
  </si>
  <si>
    <t xml:space="preserve">Low Y.; Uehara T.; Minowa Y.; Yamada H.; Ohno Y.; Urushidani T.; Sedykh A.; Muratov E.; Kuzmin V.; Fourches D.; Zhu H.; Rusyn I.; Tropsha A.</t>
  </si>
  <si>
    <t>208</t>
  </si>
  <si>
    <t xml:space="preserve">Quantitative structure-activity relationship (QSAR) modeling and toxicogenomics are typically used independently as predictive tools in toxicology. In this study, we evaluated the power of several statistical models for predicting drug hepatotoxicity in rats using different descriptors of drug molecules, namely, their chemical descriptors and toxicogenomics profiles. The records were taken from the Toxicogenomics Project rat liver microarray database containing information on 127 drugs (http://toxico.nibio.go.jp/datalist.html). The model end point was hepatotoxicity in the rat following 28 days of continuous exposure, established by liver histopathology and serum chemistry. First, we developed multiple conventional QSAR classification models using a comprehensive set of chemical descriptors and several classification methods (k nearest neighbor, support vector machines, random forests, and distance weighted discrimination). With chemical descriptors alone, external predictivity (correct classification rate, CCR) from 5-fold external cross-validation was 61%. Next, the same classification methods were employed to build models using only toxicogenomics data (24 h after a single exposure) treated as biological descriptors. The optimized models used only 85 selected toxicogenomics descriptors and had CCR as high as 76%. Finally, hybrid models combining both chemical descriptors and transcripts were developed; their CCRs were between 68 and 77%. Although the accuracy of hybrid models did not exceed that of the models based on toxicogenomics data alone, the use of both chemical and biological descriptors enriched the interpretation of the models. In addition to finding 85 transcripts that were predictive and highly relevant to the mechanisms of drug-induced liver injury, chemical structural alerts for hepatotoxicity were identified. These results suggest that concurrent exploration of the chemical features and acute treatment-induced changes in transcript levels will both enrich the mechanistic understanding of subchronic liver injury and afford models capable of accurate prediction of hepatotoxicity from chemical structure and short-term assay results. © 2011 American Chemical Society.</t>
  </si>
  <si>
    <t xml:space="preserve">Teng S.; Yin C.; Wang Y.; Chen X.; Yan Z.; Cui L.; Wei L.</t>
  </si>
  <si>
    <t>32</t>
  </si>
  <si>
    <t xml:space="preserve">Drug toxicity prediction is essential to drug development, which can help screen compounds with potential toxicity and reduce the cost and risk of animal experiments and clinical trials. However, traditional handcrafted feature-based and molecular-graph-based approaches are insufficient for molecular representation learning. To address the problem, we developed an innovative molecular fingerprint Graph Transformer framework (MolFPG) with a global-aware module for interpretable toxicity prediction. Our approach encodes compounds using multiple molecular fingerprinting techniques and integrates Graph Transformer-based molecular representation for feature learning and toxic prediction. Experimental results show that our proposed approach has high accuracy and reliability in predicting drug toxicity. In addition, we explored the relationship between drug features and toxicity through an interpretive analysis approach, which improved the interpretability of the approach. Our results highlight the potential of Graph Transformers and multi-level fingerprints for accelerating the drug discovery process by reliably, effectively alarming drug safety. We believe that our study will provide vital support and reference for further development in the field of drug development and toxicity assessment. © 2023</t>
  </si>
  <si>
    <t xml:space="preserve">Klabklaydee S.; Zhang B.; Liu J.; Subsa-Ard N.; Elsamadony M.; Fujii M.</t>
  </si>
  <si>
    <t xml:space="preserve">Predicting how chemical toxicity evolves during metabolism remains a central challenge in environmental toxicology. This study presents an integrated computational framework combining descriptor-based QSAR modeling, graph neural networks, and biotransformation pathway analysis to capture the dynamic nature of the chemical risk. An XGBoost model using PaDEL descriptors achieved high accuracy (R2 = 0.969), while a newly developed Graph Sequence Attention Network (GSAT) yielded comparable results (R2 = 0.907, mean absolute error (MAE) ≈ 0.30) with a 98.9% reduction in computation time, enabling high-throughput screening and substructure-level interpretation. Integrating GSAT with EnviPath-python and KEGG validation enabled the simulation of multigenerational toxicity for 12 priority pollutants. Across transformation networks, 68.2% of the transformation steps increased the toxicity, resulting in an average of a 15.4-fold increase. The most detoxifying pathways included polynuclear aromatic dioxygenation, decarboxylation to CO2, and the conversion of halogenated muconate to succinate, whereas alcohol oxidations consistently enhanced toxicity. Notably, 91.6% of the halogenated pathways showed net toxification, with 78.3% reaching peak levels during steps 3–4, indicating temporary periods of maximum hazard before detoxification. These findings reveal that metabolic transformations often increase toxicity and emphasize that pathway level rather than static toxicity assessment is essential for accurate environmental risk evaluation and the rational design of bioremediation strategies. © 2026 American Chemical Society</t>
  </si>
  <si>
    <t xml:space="preserve">Wang H.; Liu W.; Chen J.</t>
  </si>
  <si>
    <t xml:space="preserve">Quantitative structure–activity relationship (QSAR) models for data complement and screening-level prioritization are necessary for management of chemicals. As an advanced machine learning modeling technique, graph neural network (GNN) can automatically learn concise and informative molecular representations and has been proved to be successful in various tasks. QSAR models based on GNN algorithms can also be developed to predict values on physicochemical properties, environmental behavior, and toxicological parameters for the vast and ever-increasing number of synthetic chemicals for screening of persistent, bio-accumulative, and toxic chemicals based on their structures, given the concise molecular structure representations and the “end-to-end” learning architecture that can be easily programmed and computerized. © 2023 Elsevier Inc. All rights reserved.</t>
  </si>
  <si>
    <t xml:space="preserve">Boya B.R.; Lee J.-H.; Choi J.-M.; Lee J.</t>
  </si>
  <si>
    <t xml:space="preserve">Halogens play a fundamental role in drug design, influencing bioactivity, stability, and selectivity. However, their impact on toxicity, particularly genotoxicity, cardiotoxicity, and hepatotoxicity, remains a critical challenge in drug discovery. This study presents HD-GEM (Hybrid Dynamic Graph-based Ensemble Model), a novel machine learning framework integrating graph neural networks, descriptor-based molecular fingerprints, and ensemble meta-learning to predict the toxicity of halogenated aromatic compounds and drug scaffolds. HD-GEM demonstrates superior predictive power compared to conventional machine learning (ML) models and popular toxicity web applications like ProTox, ADMETlab, and admetSAR, achieving high accuracy and Receiver Operating Characteristic - Area Under Curve scores across diverse datasets. Importantly, a node perturbation analysis revealed that carbon, nitrogen, and oxygen atoms within the scaffold dominate toxicity predictions, whereas halogen contributions were minimal, challenging the conventional assumption that halogenation inherently increases toxicity in many pharmacological contexts. Among halogens, iodine-substituted compounds exhibit the lowest toxicity, a trend corroborated across single-, double-, and triple-ring scaffolds. Notably, polyhalogenated scaffolds show reduced toxicity, suggesting a stabilizing effect that mitigates reactive metabolite formation. This study presents an interpretable artificial intelligence-driven framework for toxicity prediction in the context of computational toxicology and cheminformatics. Atom-level and descriptor-based analyses reveal scaffold- and feature-specific contributions to toxicity.  © 2025 The Author(s). Published by Oxford University Press.</t>
  </si>
  <si>
    <t xml:space="preserve">Huang Z.; Yu J.; He W.; Yu J.; Deng S.; Yang C.; Zhu W.; Shao X.</t>
  </si>
  <si>
    <t xml:space="preserve">The development of accurate and interpretable models for predicting reaction constants of organic compounds with hydroxyl radicals is vital for advancing quantitative structure-activity relationships (QSAR) in pollutant degradation. Methods like molecular descriptors, molecular fingerprinting, and group contribution methods have limitations, as traditional machine learning struggles to capture all intramolecular information simultaneously. To address this, we established an integrated graph neural network (GNN) with approximately 12 million learnable parameters. GNN represents atoms as nodes and chemical bonds as edges, thus transforming molecules into a graph structures, effectively capturing microscopic properties while depicting atom connectivity in non-Euclidean space. Our datasets comprise 1401 pollutants to develop an integrated GNN model with Bayesian optimization, the model achieves root mean square errors of 0.165, 0.172, and 0.189 on the training, validation, and test datasets, respectively. Furthermore, we assess molecular structure similarity using molecular fingerprint to enhance the model's applicability. Afterwards, we propose a gradient weight mapping method for model explainability, uncovering the key functional groups in chemical reactions in artificial intelligence perspective, which would boost chemistry through artificial intelligence extreme arithmetic power. © 2024 Elsevier B.V.</t>
  </si>
  <si>
    <t xml:space="preserve">Nath A.; Ojha P.K.; Roy K.</t>
  </si>
  <si>
    <t xml:space="preserve">The fast-increasing number of commercially produced chemicals challenges the experimental ecotoxicity assessment methods, which are costly, time-consuming, and dependent on the sacrifice of animals. In this regard, Quantitative Structure-Property/Activity Relationships (QSPR/QSAR) have led the way in developing ecotoxicity assessment models. In this study, QSAR models have been developed using the pEC50 values of 82 diverse agrochemicals or agro-molecules against a planktonic crustacean Daphnia magna with easily interpretable 2D descriptors. Moreover, a link among octanol-water partition coefficient (KOW), bio-concentration factor (BCF), and critical body residue (CBR) has been addressed, and their imputation for the prediction of the toxicity endpoint (EC50) has been done with an objective of the advanced exploration of several ecotoxicological parameters for toxic chemicals. The developed partial least squares (PLS) models were validated rigorously and proved to be robust, sound, and immensely well-predictive. The final Daphnia toxicity model derived from experimental derived properties along with computed descriptors emerged better in statistical quality and predictivity than those obtained solely from computed descriptors. Additionally, the pEC50 and other important properties (log KOW, log BCF, and log CBR) for a set of external agro-molecules, not employed in model development, were predicted to show the predictive ability of the models. © 2023 Informa UK Limited, trading as Taylor &amp; Francis Group.</t>
  </si>
  <si>
    <t xml:space="preserve">Hu J.; Yang X.; Yao C.; Zhang M.; Shen S.; Na L.; Zhao Q.</t>
  </si>
  <si>
    <t>16</t>
  </si>
  <si>
    <t xml:space="preserve">Accurate mutagenicity prediction is crucial in drug discovery, but evaluating the mutagenicity of drug molecules is technically challenging, and experimental mutagenicity tests are both time-consuming and costly. In this study, we introduce a new deep learning predictive model called AMPred-MFG, designed to predict the mutagenicity of drug molecules. Our approach first combines multiple molecular fingerprint features with molecular graph features to obtain a comprehensive molecular representation. Next, considering the significance of molecular substructures on mutagenicity, we decompose the molecules into motifs to form motif-based graph. We use a graph transformer to extract features from these motif-based graphs and fuse motif graph features with molecular fingerprint features and molecular graph features to create the final molecular representation. Finally, we use a multilayer perceptron to classify the compounds into mutagens and non-mutagens. We evaluate the performance of AMPred-MFG through ten-fold cross-validation experiments and validate its robustness on external validation datasets. By comparing with several state-of-the-art algorithms, AMPred-MFG achieves the best results in terms of performance, with AUC value of 0.912, ACC of 0.835, SEN of 0.849, NPV of 0.811, PPV of 0.854, MCC of 0.665. In addition, we use attention scores to identify molecular fragments related to mutagenicity, highlighting the interpretability of AMPred-MFG. We believe that AMPred-MFG can act as a dependable tool for predicting mutagenicity, allowing for the assessment of both mutagens and non-mutagens during the early phases of drug development. AMPred-MFG is freely available at https://github.com/zhaoqi106/AMPred-MFG. © International Association of Scientists in the Interdisciplinary Areas 2025.</t>
  </si>
  <si>
    <t xml:space="preserve">Clarke P.F.A.; Cmelo I.; Helin R.; Shende M.K.; Granmo O.-C.; Fayne D.</t>
  </si>
  <si>
    <t xml:space="preserve">Advances in Quantitative Structure Activity Relationship (QSAR) are led by two core paradigms, (1) descriptor engineering, where complex fixed-length vectors of compounds are generated and conventional ML methods are applied to those representations and (2) graphical chemical inputs (e.g., Simplified Molecular Input Line Entry System (SMILES), 2D-graph) being provided to deep learning neural network (NN) models, which construct their own internal representations of molecules and learn iteratively over them. Here we present the Tsetlin Machine (TM)─which combines the accuracy and easy-use of existing rule-based QSAR ML methods (e.g., RF and XGBoost), the iterative learning aspect of NN algorithms and its intrinsic interpretability. The TM uses teams of finite-state automata which capture frequent patterns as propositional logic (clauses) via reinforcement learning. The benchmarking pipeline presented here demonstrates that TM-QSAR coupled with ECFP4 descriptors frequently performs better than existing rule-based QSAR methods for ROC-AUC, PRC-AUC and PPV, with a high capacity for interscaffold generalization. However, due to the binary nature of TM-QSAR, performance it is currently limited when descretised continuous descriptors are used. TM-QSAR demonstrated particularly impressive classification scores for MOR (ROC-AUC = 0.87, PRC-AUC = 0.77) and CYPA4 (ROC-AUC = 0.92, PRC-AUC = 0.63), when compared to RF and XGBoost. Using TM in combination with substructural fingerprinting descriptors allows for an interpretability suite which can be extracted directly from clauses. Here we detail molecule property maps (TM-MPM) to view atom-wise TM-QSAR bioactivity contributions for single molecules and closed-form WAC scores (Weights × Activations × Clauses) for descriptor-wise contributions to regions of predicted chemical space. These methods show strong alignment of TM-QSAR interpretations to known ligand–protein interactions of the MOR target and gives nonlinear, conditional interpretations for greater predicted bioactivity. Given this combination of accuracy, computational efficiency and interpretability, we provide a basis for TM-QSAR to be explored as a standard methodology in virtual screening toolkits. © 2026 The Authors. Published by American Chemical Society.</t>
  </si>
  <si>
    <t xml:space="preserve">Hu S.; Liu G.; Zhang J.; Yan J.; Zhou H.; Yan X.</t>
  </si>
  <si>
    <t>21</t>
  </si>
  <si>
    <t xml:space="preserve">Quantitative structure-activity relationship (QSAR) modeling has been widely used to predict the potential harm of chemicals, in which the prediction heavily relies on the accurate annotation of chemical structures. However, it is difficult to determine the accurate structure of an unknown compound in many cases, such as in complex water environments. Here, we solved the above problem by linking electron ionization mass spectra (EI-MS) of organic chemicals to toxicity endpoints through various machine learning methods. The proposed method was verified by predicting 50% growth inhibition of Tetrahymena pyriformis (T. pyriformis) and liver toxicity. The optimal model performance obtained an R2 &gt; 0.7 or balanced accuracy &gt; 0.72 for both the training set and test set. External experimentation further verified the application potential of our proposed method in the toxicity prediction of unknown chemicals. Feature importance analysis allowed us to identify critical spectral features that were responsible for chemical-induced toxicity. Our approach has the potential for toxicity prediction in such fields that it is difficult to determine accurate chemical structures. © 2022 Elsevier B.V.</t>
  </si>
  <si>
    <t xml:space="preserve">Yeom J.; Jeong H.; Son S.; Lee Y.J.; Kim K.Y.; Kim S.D.; Jeon J.; Cho K.H.</t>
  </si>
  <si>
    <t xml:space="preserve">The lethal concentration (LC50) of Daphnia is a significant toxicity index for water quality assessment and chemical management; however, obtaining LC50 values for all substances poses difficulties in terms of cost and time. This study developed a deep learning-based framework to overcome these challenges that integrated molecular- and macro-level features to predict LC50 values and interpret toxicity mechanisms. In molecular structure-based graph machine learning, the presentation of molecular structure data plays a crucial role. In this study, to improve interpretability and stability, we applied three graph representations, including original molecules, Simplified Molecular Input Line Entry System (SMILES) notations, and SMILES Arbitrary Target Specification (SMARTS) notations for machine learning modeling. Consequently, the framework using SMARTS-based fragment graph representations consistently achieved a coefficient of determination (R²) above 0.825 regardless of the deep learning architectures, establishing it as the most appropriate representation method. These findings demonstrated the robustness and expressivity of simpler fragment-level graph representations for training toxicity-relevant features. Moreover, for this representation, standard graph neural network models outperformed more complex variants (R² = 0.905 ± 0.023). Model interpretation further identified the key functional groups and macro-level factors responsible for toxicity, with distinct patterns observed across the five MOA classes (e.g., narcosis, polar narcosis, unspecific reactivity, specific mechanism, unclassified). This advanced multimodal molecular graph-based neural network framework facilitates the management of extensive chemical inventories by enabling streamlined prioritization, rapid hazard identification, and mechanistic hypothesis generation for Daphnia toxicity assessments. © 2026 Elsevier Ltd</t>
  </si>
  <si>
    <t xml:space="preserve">Kim D.; Jeong J.; Choi J.</t>
  </si>
  <si>
    <t xml:space="preserve">Recent studies have primarily focused on introducing novel frameworks to enhance the predictive power of toxicity prediction models by refining molecular representation methods and algorithms. However, these methods are inherently complex and often pose challenges in understanding and explaining, leading to barriers in their regulatory adoption and validation. Therefore, it is necessary to select the optimal model, considering not only model performance but also interpretability. This study aimed to identify the optimal combination of molecular fingerprints (pattern-based versus algorithm-based) and machine learning algorithms (simple versus complex) for developing explainable toxicity prediction models through an comprehensive investigation of the ToxCast/Tox21 bioassay data set. For 1092 ToxCast/Tox21 assays, five molecular fingerprints (MACCS, Morgan, RDKit, Layered, and Patterned) and six algorithms (MLP, GBT, Random Forest, kNN, Logistic Regression, and Naïve Bayes) were used to train the models. Results showed that 35 models revealed acceptable performance (F1 score or accuracy is 0.8 or higher). Among the combinations, either MACCS or Morgan, paired with Random Forest, demonstrated robust performance compared with other molecular fingerprints and algorithms. MACCS and Random Forest are valuable, even when prioritizing interpretability. Consequently, the MACCS-Random Forest combination model based on four assays, targeting G protein-coupled receptor and kinase, were identified and they can be used to discern specific structural features or patterns in chemical compounds, offering explainable insights into toxicity-related chemical structures. This study indicates the importance of not disregarding the utilization of simple models when assessing both predictivity and interpretability within the context of chemical feature-based Tox21 data analysis. © 2024 The Authors. Published by American Chemical Society.</t>
  </si>
  <si>
    <t xml:space="preserve">Elsayad A.M.; Nassef A.M.; Al-Dhaifallah M.; Elsayad K.A.</t>
  </si>
  <si>
    <t>14</t>
  </si>
  <si>
    <t xml:space="preserve">Substances that do not degrade over time have proven to be harmful to the environment and are dangerous to living organisms. Being able to predict the biodegradability of substances without costly experiments is useful. Recently, the quantitative structure–activity relationship (QSAR) models have proposed effective solutions to this problem. However, the molecular descriptor datasets usually suffer from the problems of unbalanced class distribution, which adversely affects the efficiency and generalization of the derived models. Accordingly, this study aims at validating the performances of balanced random trees (RTs) and boosted C5.0 decision trees (DTs) to construct QSAR models to classify the ready biodegradation of substances and their abilities to deal with unbalanced data. The balanced RTs model algorithm builds individual trees using balanced bootstrap samples, while the boosted C5.0 DT is modeled using cost-sensitive learning. We employed the two-dimensional molecular descriptor dataset, which is publicly available through the University of California, Irvine (UCI) machine learning repository. The molecular descriptors were ranked according to their contributions to the balanced RTs classification process. The performance of the proposed models was compared with previously reported results. Based on the statistical measures, the experimental results showed that the proposed models outperform the classification results of the support vector machine (SVM), K-nearest neighbors (KNN), and discrimination analysis (DA). Classification measures were analyzed in terms of accuracy, sensitivity, specificity, precision, false positive rate, false negative rate, F1 score, receiver operating characteristic (ROC) curve, and area under the ROC curve (AUROC). © 2020 by the authors. Licensee MDPI, Basel, Switzerland.</t>
  </si>
  <si>
    <t xml:space="preserve">Mondal D.; Ghosh K.; Baidya A.T.K.; Gantait A.M.; Gayen S.</t>
  </si>
  <si>
    <t xml:space="preserve">Monte Carlo based method by using either SMILES based or combination of SMILES and Graph-based descriptors is an important strategy to build the QSAR/QSTR model for prediction of different biological endpoints. In this study, Monte Carlo based QSTR approach was applied to the dataset of 90 nitroaromatic compounds related to their in vivo toxicity, represented by 50% lethal dose concentration for rats (LD50). Both classification and regression-based QSTR models were developed to get an idea about different fingerprints for promoters and hinderers of nitroaromatics toxicity. The best classification model was obtained by using SMILES and graph-based (GAO) descriptor with 1ECK connectivity (sensitivity = 0.7143, specificity = 1.0000, accuracy = 0.8889, and MCC = 0.7774). The best regression model calculated by using SMILES and hydrogen-suppressed graph descriptors with 0ECk connectivity (R2 = 0.7386, Q2 = 0.6315, S=0.467, and MAE = 0.340). Finally, a consensus QSTR model was generated to predict efficiently the toxicity of new compounds. The study highlighted that the comparative QSTR models by using the Monte Carlo method can also be generated and will be a useful tool for structural fingerprint analysis in case of nitroaromatics for preliminary evaluation of its toxicity to mammals. © 2020, © 2020 Informa UK Limited, trading as Taylor &amp; Francis Group.</t>
  </si>
  <si>
    <t xml:space="preserve">Wang L.; Zhao L.; Liu X.; Fu J.; Zhang A.</t>
  </si>
  <si>
    <t xml:space="preserve">Deep learning (DL) offers an unprecedented opportunity to revolutionize the landscape of toxicity prediction based on quantitative structure-activity relationship (QSAR) studies in the big data era. However, the structural description in the reported DL-QSAR models is still restricted to the two-dimensional level. Inspired by point clouds, a type of geometric data structure, a novel three-dimensional (3D) molecular surface point cloud with electrostatic potential (SepPC) was proposed to describe chemical structures. Each surface point of a chemical is assigned its 3D coordinate and molecular electrostatic potential. A novel DL architecture SepPCNET was then introduced to directly consume unordered SepPC data for toxicity classification. The SepPCNET model was trained on 1317 chemicals tested in a battery of 18 estrogen receptor-related assays of the ToxCast program. The obtained model recognized the active and inactive chemicals at accuracies of 82.8 and 88.9%, respectively, with a total accuracy of 88.3% on the internal test set and 92.5% on the external test set, which outperformed other up-to-date machine learning models and succeeded in recognizing the difference in the activity of isomers. Additional insights into the toxicity mechanism were also gained by visualizing critical points and extracting data-driven point features of active chemicals.  © 2021 American Chemical Society.</t>
  </si>
  <si>
    <t xml:space="preserve">Liu R.; Wallqvist A.</t>
  </si>
  <si>
    <t xml:space="preserve">Using a benchmark Ames mutagenicity data set, we evaluated the performance of molecular fingerprints as descriptors for developing quantitative structure-activity relationship (QSAR) models and defining applicability domains with two machine-learning methods: random forest (RF) and variable nearest neighbor (v-NN). The two methods focus on complementary aspects of chemical mutagenicity and use different characteristics of the molecular fingerprints to achieve high levels of prediction accuracies. Thus, while RF flags mutagenic compounds using the presence or absence of small molecular fragments akin to structural alerts, the v-NN method uses molecular structural similarity as measured by fingerprint-based Tanimoto distances between molecules. We showed that the extended connectivity fingerprints could intuitively be used to define and quantify an applicability domain for either method. The importance of using applicability domains in QSAR modeling cannot be understated; compounds that are outside the applicability domain do not have any close representative in the training set, and therefore, we cannot make reliable predictions. Using either approach, we developed highly robust models that rival the performance of a state-of-the-art proprietary software package. Importantly, based on the complementary approach used by the methods, we showed that by combining the model predictions we raised the applicability domain from roughly 80% to 90%. These results indicated that the proposed QSAR protocol constituted a highly robust chemical mutagenicity prediction model. © 2014 American Chemical Society.</t>
  </si>
  <si>
    <t xml:space="preserve">Miao Y.; Huang J.</t>
  </si>
  <si>
    <t xml:space="preserve">Accurate and efficient prediction of molecular toxicity is essential in drug development to mitigate adverse effects early and optimize safety profiles. Numerous toxicity types have been explored, including preclinical and clinical drug toxicity, liver toxicity, ecotoxicology, protein and peptide toxicity, and reproduction toxicity. Advances in machine learning (ML) and deep learning (DL) have significantly impacted these areas, aiding in resource allocation, addressing ethical concerns, and overcoming data limitations. In this chapter, we discuss commonly used molecular representations for DL models, such as SMILES strings, molecular graphs, and 3D structures, as well as their impact on the predictive capacity of toxicity models. We also cover various toxicity assessment metrics from wet-lab experiments such as IC50 and LD50, which inform model evaluation benchmarks. Finally, we examine the progress made with DL models in molecular toxicity prediction, highlighting model architectures and strategies, such as graph neural networks, transformers, and ensemble methods. These developments underscore the importance of DL in enhancing toxicity prediction, with insights for addressing existing challenges and advancing predictive accuracy. © 2026 Elsevier Inc. All rights reserved.</t>
  </si>
  <si>
    <t xml:space="preserve">Cucos A.-M.; Iantovics L.B.</t>
  </si>
  <si>
    <t xml:space="preserve">Adverse drug reactions have, in some cases, devastating effects on the population, so it is very important to develop decision support systems based on artificial intelligence to predict such situations having a preventive effect with an important positive impact on population health. This research aims to study the influence of features, which are different characteristics used to represent chemical drug compounds, on the prediction of adverse reactions. A chemical fingerprint is defined as being a distinctive characteristic or pattern that indicates the presence of a certain molecule and a molecular descriptor that is a mathematical representation of a molecule's properties, which describes the chemical information of the molecule. Based on a comprehensive study of the state-of-the-art artificial intelligence algorithms such as Random Forest (RF), Gradient Boosted Trees (GBT), Feedforward Neural Network (FFN) and Convolutional Neural Network (CNN) are chosen, with which prediction models were created with different approaches to features such as the use of fingerprints, the use of molecular descriptors or the combination of fingerprints and molecular descriptors in order to obtain improved results. The algorithms specified above were selected since they are powerful and can capture complex patterns along the given features. The experimental evaluations consisted of identifying four effective fingerprints, namely: Pattern, Torsion, Atom Pair and Morgan, creating a machine learning model for each fingerprint type and using them as input data features, observing the results, after which two types of molecular descriptors were chosen, namely, molecular weight and number of valence electrons, we combined them as a feature of the input data, created machine learning models which we trained and observed the results, then, the last experiment, consisted of combining the molecular descriptors and the fingerprints, creating the machine learning models, training and observing the results. According to the experimental evaluation results RF and GBT had better results, with significant differences of even 20% in accuracy in certain cases, such as using molecular descriptors for Hepatobiliary disorders, than FNN and CNN. Another conclusion that can be formulated is the fact that the fingerprints had the greatest impact on the performance increase of the models, so the use of fingerprints and molecular descriptors together as features gave the best results among all the performed tests. © 2024 The Authors.</t>
  </si>
  <si>
    <t xml:space="preserve">Zhong S.; Zhang K.; Wang D.; Zhang H.</t>
  </si>
  <si>
    <t>143</t>
  </si>
  <si>
    <t xml:space="preserve">Developing quantitative structure-activity relationships (QSARs) is an important approach to predicting the reactivity of HO radicals toward newly emerged organic compounds. As compared with molecular descriptors-based and the group contribution method-based QSARs, a combined molecular fingerprint-machine learning (ML) method can more quickly and accurately develop such models for a growing number of contaminants. However, it is yet unknown whether this method makes predictions by choosing meaningful structural features rather than spurious ones, which is vital for trusting the models. In this study, we developed QSAR models for the logkHO[rad] values of 1089 organic compounds in the aqueous phase by two ML algorithms—deep neural networks (DNN) and eXtreme Gradient Boosting (XGBoost), and interpreted the built models by the SHapley Additive exPlanations (SHAP) method. The results showed that for the contribution of a given structural feature to logkHO[rad] for different compounds, DNN and XGBoost treated it as a fixed and variable value, respectively. We then developed an ensemble model combining the DNN with XGBoost, which achieved satisfactory predictive performance for all three datasets: Training dataset: R-square (R2) 0.89–0.91, root-mean-squared-error (RMSE) 0.21–0.23, and mean absolute error (MAE) 0.15–0.17; Validation dataset: R2 0.63–0.78, RMSE 0.29–0.32, and MAE 0.21–0.25; and Test dataset: R2 0.60–0.71, RMSE 0.30–0.35, and MAE 0.23–0.25. The SHAP method was further used to unveil that this ensemble model made predictions on logkHO[rad] based on a correct ‘understanding’ of the impact of electron-withdrawing and -donating groups and of the reactive sites in the compounds that can be attacked by HO[rad]. This study offered some much-needed mechanistic insights into a ML-assisted environmental task, which are important for evaluating the trustworthiness of the ML-based models, further improving the models for specific applications, and leveraging the implicit knowledge the models carry. © 2020 Elsevier B.V.</t>
  </si>
  <si>
    <t xml:space="preserve">Ding T.; Larrea-Gallegos G.; Busio F.; Marvuglia A.; Schaubroeck T.</t>
  </si>
  <si>
    <t xml:space="preserve">The rapid expansion of registered chemicals, coupled with persistent data gaps, poses a major challenge for toxicity assessment in life cycle assessment (LCA) and Safe and Sustainable by Design (SSbD). This study proposes a data-driven framework to directly predict toxicity characterization factors (CFs) from the molecular simplified molecular input line entry system (SMILES), using the environmental footprint (EF) v3.1 database as the training benchmark. We evaluate five machine-learning and deep-learning approaches—random forest, XGBoost, Gaussian process, deep neural networks, and graph neural networks via message-passing neural networks (MPNNs)—across three molecular representations: Mordred descriptors, molecular graphs, and large-scale pretrained molecular embeddings (GROVER). Predictive performance is strongly target-dependent, with ecotoxicity CFs showing consistently higher predictability (R2 = 0.47–0.67) than human toxicity CFs (R2 = 0.44–0.56). Mordred-based models, particularly XGBoost, shows robust and better performance across multiple targets. Graph-based MPNNs achieved competitive performance, with graph-only multi-target MPNNs showing the clearest benefit over single-target training, especially for human toxicity targets. Adding Mordred descriptors to graph-based models generally improved human toxicity prediction, but can sometimes reduce performance for ecotoxicity prediction. GROVER embeddings provided advantages in specific clusters (e.g., the highest mean R2 over three runs for one cluster is 0.70) and offer a promising alternative to handcrafted descriptors. The framework further integrates applicability domain analysis and chemical clustering to enable domain-consistent prediction. A textile-sector case study shows that incorporating predicted CFs for previously uncovered chemicals can lead to substantial underestimation of toxicity impacts, by up to about 60%. This journal is © The Royal Society of Chemistry, 2026.</t>
  </si>
  <si>
    <t xml:space="preserve">Mahmoud R.S.; Yousef A.H.</t>
  </si>
  <si>
    <t xml:space="preserve">During humans' lifetime, their bodies deal with different chemicals through various sources. Chemical toxicity is a challenging problem that needs rapid and efficient methods for evaluation of environmental chemicals, or medications development. Computer science helps in toxicity prediction through building models from pre-tested compounds by learning from data. These models raise a flag to avoid trying some combinations for trial in wet-lab, which reduces the high cost of clinical trials. A compound chemical structure features are represented by Molecular Fingerprint. This survey searches for answers to Q1 How Fingerprints are dependent on the type of the prediction model Q2 How valid are Fingerprints in toxicity prediction. The Toxicology in the 21st Century challenge is the case study on this work. By showing the impact of fingerprints as descriptors on different predictive modeling techniques. The survey shows the independence of fingerprints as descriptors, as they work with different QSAR models. Also a need is noticed to test fingerprints separately without other descriptors in toxicity prediction to test their performance. © 2019 IEEE.</t>
  </si>
  <si>
    <t xml:space="preserve">Lee M.; Min K.</t>
  </si>
  <si>
    <t xml:space="preserve">The prediction and evaluation of the biodegradability of molecules with computational methods are becoming increasingly important. Among the various methods, quantitative structure–activity relationship (QSAR) models have been demonstrated to predict the ready biodegradation of chemicals but have limited functionality owing to their complex implementation. In this study, we employ the graph convolutional network (GCN) method to overcome these issues. A biodegradability dataset from previous studies was trained to generate prediction models by (i) the QSAR models using the Mordred molecular descriptor calculator and MACCS molecular fingerprint and (ii) the GCN model using molecular graphs. The performance comparison of the methods confirms that the GCN model is more straightforward to implement and more stable; the specificity and sensitivity values are almost identical without specific descriptors or fingerprints. In addition, the performance of the models was further verified by randomly dividing the dataset into 100 different cases of training and test sets and by varying the test set ratio from 20 to 80%. The results of the current study clearly suggest the promise of the GCN model, which can be implemented straightforwardly and can replace conventional QSAR prediction models for various types and properties of molecules. © 2022 The Authors. Published by American Chemical Society</t>
  </si>
  <si>
    <t xml:space="preserve">Xie J.; Liu W.; Hu W.; Ouyang M.; Huang T.</t>
  </si>
  <si>
    <t xml:space="preserve">Molecular toxicity prediction plays a crucial role in drug screening and environmental health risk assessment. Traditional toxicity prediction models primarily rely on molecular fingerprints and other structural features, while neglecting the complex biological mechanisms underlying compound toxicity, resulting in limited predictive accuracy, poor interpretability, and reduced generalizability. To address this challenge, this study proposes a novel molecular toxicity prediction framework that integrates knowledge graphs with Graph Neural Networks (GNNs). Specifically, we constructed a heterogeneous toxicological knowledge graph (ToxKG) based on ComptoxAI. ToxKG incorporates data from authoritative databases such as PubChem, Reactome, and ChEMBL, and covers multiple entities and relationships including chemicals, genes, signaling pathways, and bioassays. We then systematically evaluated six representative GNN models (GCN, GAT, R-GCN, HRAN, HGT, and GPS) on the Tox21 dataset. Experimental results demonstrate that heterogeneous graph models enriched with ToxKG information significantly outperform traditional models relying solely on structural features across multiple metrics including AUC, F1-score, ACC, and balanced accuracy (BAC). Notably, the GPS model achieved the highest AUC value (0.956) for key receptor tasks such as NR-AR, highlighting the critical role of biological mechanism information and heterogeneous graph structures in toxicity prediction. This study provides a promising pathway toward the development of interpretable and efficient intelligent models for toxicological risk assessment. © 2025 by the authors.</t>
  </si>
  <si>
    <t xml:space="preserve">Koutroumpa N.-M.; Varsou D.-D.; Kolokathis P.D.; Antoniou M.; Papavasileiou K.D.; Papadopoulou E.; Papadiamantis A.G.; Tsoumanis A.; Melagraki G.; Velimirovic M.; Afantitis A.</t>
  </si>
  <si>
    <t xml:space="preserve">Assessing chemical toxicity is essential for understanding potential risks to human health. However, ethical, financial, and scientific challenges have driven the demand for non-animal testing methods. This study introduces a computational framework that leverages diverse molecular representations, including MACCS keys, Morgan fingerprints, and Mordred descriptors, to predict skin sensitization, irritation/corrosion, and acute dermal toxicity. Different molecular representations for skin toxicity-related endpoints were first evaluated using three machine learning algorithms (Random Forest, Support Vector Machine, and k-Nearest Neighbors), then combined into a unified input space for training a fully connected neural network (FCNN). Comparative analyses indicate that this multi-view FCNN model offers superior or comparable predictive performance relative to single-representation models, achieving area under the curve (AUC) values of up to 0.91 for irritation/corrosion, 0.88 for sensitization, and 0.82 for acute dermal toxicity on test sets. Additional validation on known toxicants further confirms the framework's robustness, correctly identifying 0.86 of skin sensitizers, 0.89 of irritants, and 0.86 of dermally toxic compounds. Shapley Additive exPlanation (SHAP) analyses highlight the most influential molecular features, providing mechanistic insights and enhancing model transparency. To promote broader adoption and reduce reliance on animal testing, the developed models are freely available through the SbD4Skin (Safe by Design for Skin) web platform (https://eoscloud.entelos.eu/ssbd4chem/sbd4skin/), offering a user-friendly tool for chemical risk assessment and regulatory decision-making. The dataset and model developed in this study have been FAIRified and made available in machine-actionable and modelling-ready formats, supporting transparency, reuse, and regulatory acceptance. © 2025 The Authors</t>
  </si>
  <si>
    <t xml:space="preserve">Marek M.; Kurczab R.</t>
  </si>
  <si>
    <t xml:space="preserve">Advancements in computational tools have facilitated interdisciplinary approaches in toxicology, enabling chemists to explore the toxicity and ecotoxicity of chemical compounds while minimizing ethically questionable or hazardous methods. This paper presents the development of models for predicting chemical ecotoxicity (HC50) based on machine learning algorithms and different molecular representations. A comprehensive set of descriptors was employed, including 100 molecular descriptors calculated using RDKit, 15 molecular connectivity (Chi) indices combined with shape (Kappa) indices, as well as MACCS and ECFP4 binary molecular fingerprints. The best model achieved an average RMSE of 0.740, an R² of 0.708, and an MAE of 0.546 through ten-fold cross-validation. The analysis of critical molecular descriptors identified logP, molar mass, heavy atom molar mass, Ipc, and the number of valence electrons as significant contributors to prediction of chemical ecotoxicity. This model not only facilitates ecotoxicity prediction but also provides valuable insights into the physicochemical properties influencing a molecule's ecotoxic profile, highlighting the potential of in silico approaches for ethical and efficient toxicology research. © 2025 The Author(s)</t>
  </si>
  <si>
    <t xml:space="preserve">Jiang Y.; Gao Y.; He Y.; Xing S.; Han W.</t>
  </si>
  <si>
    <t xml:space="preserve">Neurotoxicity from drugs and environmental pollutants poses serious risks to brain function, yet existing computational models mainly target general neurotoxicity and lack specialized tools for brain-specific assessment. This study aimed to develop and validate a high-performance, brain-focused neurotoxicity prediction framework to improve drug safety evaluation and toxicity screening. We systematically analyzed molecular features, clustering patterns, and target predictions of brain-toxic compounds. Multiple feature representations were compared, including traditional molecular fingerprints, knowledge-guided pre-trained graph Transformer (KPGT) embeddings, and transformer-based MolFormer embeddings, combined with machine learning classifiers. Model performance was evaluated using multiple metrics, and SHAP analysis was conducted to identify influential molecular substructures. Toxic molecules showed physicochemical properties favoring central nervous system (CNS) penetration, including lower molecular weight, lower LogP, fewer hydrogen bond donors/acceptors, fewer rotatable bonds, and lower polar surface area (PSA). The KPGT-MLP model achieved the best balanced performance, with an accuracy (ACC) of 0.8928 and an ROC-AUC of 0.9459, clearly outperforming traditional fingerprint-based models, MolFormer-based models, and general prediction tools such as DI-NeuroT and ADMETlab 3.0. Overall, this study establishes a robust framework for brain-specific neurotoxicity prediction, with the KPGT-MLP model demonstrating strong accuracy and robustness. The proposed approach provides an effective strategy for early neurotoxicity screening and risk assessment, offering valuable insights for safer drug design and advancing computational toxicology and drug discovery. © 2026 by the authors.</t>
  </si>
  <si>
    <t xml:space="preserve">Aditya M.F.; Aditsania A.; Kurniawan I.</t>
  </si>
  <si>
    <t xml:space="preserve">Medicine is a primary need that is used to heal various diseases in living things. When consuming the drug alone, it may cause symptoms of toxicity. Therefore, it is very necessary to predict toxicity in chemical compounds that can be tolerated by the body. Regarding toxicity prediction, an alternative method is needed to replace High-Throughput Screening (HTS), because the method requires a lot of time and money. One of the alternative methods is using the machine learning method, such as Artificial Neural Network (ANN). This study aims to predict the toxicity of chemical compounds with feature-based fingerprints using the ANN method optimized by the grey wolf algorithm. The dataset was retrieved from Tox21 Data Challenge repository. According to the result, we obtained the best model from ANN with 2 hidden layers, tanh activation function, and adam optimizer, getting F1-score results and accuracy on test data with values of 0.590 and 0.887 respectively.  © 2023 IEEE.</t>
  </si>
  <si>
    <t xml:space="preserve">Zaslavskiy M.; Jégou S.; Tramel E.W.; Wainrib G.</t>
  </si>
  <si>
    <t xml:space="preserve">Timely assessment of compound toxicity is one of the biggest challenges facing the pharmaceutical industry today. A significant proportion of compounds identified as potential leads are ultimately discarded due to the toxicity they induce. In this paper, we propose a novel machine learning approach for the prediction of molecular activity on TOXCAST targets. We combine extreme gradient boosting with fully-connected and graph-convolutional neural network architectures trained on QSAR physical molecular property descriptors, PubChem molecular fingerprints, and SMILES sequences. Our ensemble predictor leverages the strengths of each individual technique, significantly outperforming existing state-of-the art models on the TOXCAST and TOX21 toxicity related bioactivity-prediction datasets. We provide free access to molecule bioactivity prediction using our model at http://toxicblend.owkin.com. © 2019 Elsevier B.V.</t>
  </si>
  <si>
    <t xml:space="preserve">Karaduman G.; Yildirim H.</t>
  </si>
  <si>
    <t xml:space="preserve">Toxic gases pose significant risks to human health and ecosystems because of their capacity to deplete oxygen levels and disrupt critical physiological functions. Effective management of these hazards is crucial, given their widespread use in various industrial sectors, including agriculture, metallurgy, pharmaceuticals, and plastics. A dataset of 229 gaseous-phase chemicals from authoritative toxicological sources was used to develop robust binary quantitative structure–activity relationship (QSAR) models for predicting toxicity. Employing molecular descriptor selection, correlation analyses, and outlier detection, random forest and XGBoost emerged as the most accurate models, each achieving a high accuracy of 0.915, with ROC areas of 0.992 and 0.986, respectively. SHapley Additive exPlanations (SHAP) were applied to enhance the explainability of the best model, providing global and local insights into the importance and direction of each descriptor. Key features influencing toxicity were identified globally, while locally, descriptors were ranked on a molecule-by-molecule basis, offering guidance for mitigating toxic effects through structural modifications. Although numerous studies have focused on predicting the toxicity of chemical gases, few have systematically analyzed the specific molecular descriptors driving toxicity. This study addresses this gap by providing a descriptor-based analysis, offering deeper mechanistic insights, and enabling more accurate predictions. The QSAR approach aligns with the 4R principles, promoting ethical, cost-effective, and efficient alternatives to animal testing, thus contributing to safer chemical design and environmental monitoring. © 2025 John Wiley &amp; Sons Ltd.</t>
  </si>
  <si>
    <t xml:space="preserve">Barta G.</t>
  </si>
  <si>
    <t xml:space="preserve">The pharmaceutical industry constantly seeks new ways to improve current methods that scientists use to evaluate environmental chemicals and develop new medicines. Various automated steps are involved in the process as testing hundreds of thousands of chemicals manually would be infeasible. Our research effort and the Toxicology in the Twenty First Century Data Challenge focused on cost-effective automation of toxicological testing, a chemical substance screening process looking for possible toxic effects caused by interrupting biological pathways. The computational models we propose in this paper successfully combine various publicly available substance fingerprinting tools with advanced machine learning techniques. In our paper, we explore the significance and utility of assorted feature selection methods as the structural analyzers generate a plethora of features for each substance. Machine learning models were carefully selected and evaluated based on their capability to cope with the high-dimensional high-variety data with multi-tree ensemble methods coming out on top. Techniques like Random forests and Extra trees combine numerous simple tree models and proved to produce reliable predictions on toxic activity while being nearly non-parametric and insensitive to dimensionality extremes. The Tox21 Data Challenge contest offered a great platform to compare a wide range of solutions in a controlled and orderly manner. The results clearly demonstrate that the generic approach presented in this paper is comparable to advanced deep learning and domain-specific solutions. Even surpassing the competition in some nuclear receptor signaling and stress pathway assays and achieving an accuracy of up to 94 percent. © 2016 Barta.</t>
  </si>
  <si>
    <t xml:space="preserve">Li J.; Wang T.; Teng Y.; Guo L.; Huang Y.; Li F.</t>
  </si>
  <si>
    <t xml:space="preserve">Emerging pollutants are substances that have recently been discovered or brought into focus, pose ecological or human-health risks, and have not yet been included in regulatory frameworks or for which existing management measures inadequately prevent and control their risks. Synthetic chemicals play key roles in progressing human society and improving quality of life. However, these chemicals may leak into the environment through unintentional or organized emissions during the life cycles of chemical-containing products, thereby becoming potential emerging pollutants and posing ecological and human-health threats. Many new chemicals are typically used without sufficient toxicity assessments;consequently, their potential threats are difficult to predict. Hence, effective toxicity assessments of existing and emerging chemicals are required to address this situation. Toxicity testing all chemicals is expected to be very time-consuming and economically expensive. In addition, there are discrepancies between experimental results from different laboratories leading to inconsistent toxicity-screening standards for emerging pollutants, which hinders preventing and controlling emerging pollutants and explaining their toxicity mechanisms. Addressing these issues requires the development of standard alternative toxicity-testing strategies that screen emerging pollutants in a high-throughput manner. In this study, machine-learning methods were used to predict the toxicities of various compounds in the Tox21 database. The RDKit and Mordred libraries were used to process structural data(presented in SMILES format) for compounds with the aim of generating molecular descriptors for their physicochemical properties. A set of refined features was screened through information-gain calculations and variable selection, and the data were fitted using Python’s Sklearn and XGBoost libraries. Prediction models were constructed based on the screened features using seven machine-learning algorithms in order to evaluate 12 different bioactive endpoints, including datasets related to endocrine disruption, DNA damage, and oxidative stress response, among others. Model performance was evaluated by calculating the accuracy of the test set, and data availability was characterized in terms of the application domain. All training and test data were found to be located in the application domain. The model was found to highly accurately predict 12 endpoints. This study clarified the relationship between the physicochemical properties of chemicals and nuclear receptor activity, and developed corresponding software tools. The model for the 12 Tox21 datasets exhibited an average area under the curve(AUC)of 0.84, and delivered better prediction performance than other participating models. Further insight into toxicological mechanisms was obtained through feature-importance analysis using Shapley Additive exPlanations (SHAPs). The octanol-water partition coefficient (log P), molecular topology, and ZMIC and piPC descriptors were identified as key parameters for predicting toxicity;these descriptors elucidate the relationship between chemical structure and biological interaction, thereby providing mechanistic explanations for compound toxicities. For example, high log P values are associated with high cell membrane permeability, which facilitates interactions between intracellular targets and endocrine receptors. The study also developed user-friendly quantitative structure-activity relationships (QSAR) prediction software. Designed for accessibility, this software enables researchers and policymakers to input compound structures in SMILES format and predict their toxicities without the need for specialized machine-learning expertise. The software automatically generates descriptors and predicts whether the input compounds are toxic or not. This study contributes to in silico methods that replace animal testing in future toxicity studies by integrating advanced machine-learning and interpretation methods. The predictive model and accompanying software enable the rapid screening of emerging pollutants and provide guidance for designing safer chemicals. These contributions are critical for advancing environmental safety and public health in the face of expanding chemical inventories. © 本文是开放获取文章，遵循CC BY 4.0协议This is an open access article distributed under the terms of the Creative Commons Attribution License, which permits unrestricted use, distribution, and reproduction in any medium, provided the original author and source are credited.</t>
  </si>
  <si>
    <t xml:space="preserve">Yuan B.; Liu C.; Chen S.; Chu J.; Yang Y.; Pan Y.; Zhang H.</t>
  </si>
  <si>
    <t xml:space="preserve">Microplastics (MPs) occur as heterogeneous mixtures in real-world environments, making one-by-one toxicity testing impractical. This study aims to use predictive models to quickly and effectively evaluate the toxicity of MPs. We explored three model frameworks: a quantitative structure-activity relationship (QSAR) model based on physicochemical descriptors; a quantitative bioactivity relationship (QBAR) model with biodescriptors screened by metabolomics data; and a quantitative structure-bioactivity relationship (QSBAR) model combining both physicochemical and biodescriptors. Under a simplex centroid design, six machine learning algorithms were trained using data augmentation strategies to predict the cytotoxicity of microplastic mixtures. The results showed that the QBAR-based eXtreme Gradient Boosting (XGB-qbar) model performed best (R2tra = 0.9322, R2test = 0.8923), outperforming the QSAR and the QSBAR frameworks. The three descriptor importance methods consistently identified key biological descriptors helpful for toxicity prediction. Moreover, metabolomics analysis indicated that mixed exposure to MPs may mediate toxic responses by reprogramming cellular energy metabolism pathways. The metabolomics-driven and data-augmented machine learning approach proposed in this study can efficiently predict toxicity and provide mechanistic clues in small sample and complex mixture scenarios, providing a feasible path for environmental exposure risk assessment. © 2026 Academic Press. All rights reserved.</t>
  </si>
  <si>
    <t xml:space="preserve">Halder A.K.; Moura A.S.; Cordeiro M.N.D.S.</t>
  </si>
  <si>
    <t xml:space="preserve">Manufactured substances known as endocrine disrupting chemicals (EDCs) released in the environment, through the use of cosmetic products or pesticides, can cause severe eco and cytotoxicity that may induce trans-generational as well as long-term deleterious effects on several biological species at relatively low doses, unlike other classical toxins. As the need for effective, affordable and fast EDCs environmental risk assessment has become increasingly pressing, the present work introduces the first moving average-based multitasking quantitative structure-toxicity relationship (MA-mtk QSTR) modeling specifically developed for predicting the ecotoxicity of EDCs against 170 biological species belonging to six groups. Based on 2,301 data-points with high structural and experimental diversity, as well as on the usage of various advanced machine learning methods, the novel most predictive QSTR models display overall accuracies &gt; 87% in both training and prediction sets. However, maximum external predictivity was achieved when a new multitasking consensus modeling approach was applied to these models. Additionally, the developed linear model provided means to investigate the determining factors for eliciting higher ecotoxicity by the EDCs towards different biological species, identifying several factors such as solvation, molecular mass and surface area as well as the number of specific molecular fragments (e.g.: aromatic hydroxy and aliphatic aldehyde). The resource to non-commercial open-access tools to develop the models is a useful step towards library screening to speed up regulatory decision on discovery of safe alternatives to reduce the hazards of EDCs. © 2023</t>
  </si>
  <si>
    <t xml:space="preserve">Sun M.; Yu H.; Lu C.; Wang Y.; He M.; Zheng D.; Xu X.; Su L.; Zhao Y.</t>
  </si>
  <si>
    <t xml:space="preserve">Chemical pollution represents a significant threat to human health and ecological safety. Assessing compound toxicity and identifying highly toxic chemicals are crucial for effective chemical risk management. Traditional toxicity testing methods are inefficient, time-consuming, and costly, posing challenges for high-throughput toxicity evaluation of numerous chemicals. Consequently, there is a pressing need to develop high-throughput, low-cost computational models for toxicity prediction. In this study, the toxicity data of a total of 1792 compounds to Tetrahymena pyriformis (T. pyriformis) were collected. Predictive models were constructed based on four single machine learning algorithms: k-Nearest Neighbors (KNN), Support Vector Machines (SVM), Random Forest (RF), and eXtreme Bradient Boosting (XGBoost). The XGBoost model outperformed others, achieving a coefficient of determination (R²) of 0.918 (training set) and 0.866 (test set), indicating strong robustness and predictive capability. To further improve the model performance, four ensemble models were constructed in this study based on the aforementioned individual algorithms: RF+KNN (Stacking1), RF+SVM (Stacking2), XGBoost+KNN (Stacking3), and XGBoost+SVM (Stacking4). Stacking2 performed optimally with Rte2 = 0.888, significantly surpassing the best single model and demonstrating ensemble learning's advantages in toxicity prediction. To unravel the underlying mechanism of the model, the Shapley Additive Explanations (SHAP) tool was employed for model interpretation. Key molecular descriptors exert a significant regulatory effect on the toxicity of structurally diverse organic compounds to T. pyriformis. These findings provide critical scientific evidence for elucidating the structural determinants of chemical toxicity and highlight the great potential of machine learning in advancing development in computational toxicology. © 2025 The Institution of Chemical Engineers</t>
  </si>
  <si>
    <t xml:space="preserve">Chittapragada H.; Sai Raj K.; Salma V.; Naveena V.; Sai Kiran N.</t>
  </si>
  <si>
    <t xml:space="preserve">Toxicity prediction is an important challenge in drug discovery because many drug candidates fail during later stages due to harmful biological effects. Early identification of toxic compounds can reduce development cost, experimental effort, and time. In this study, a machine learning-based framework is proposed to predict molecular toxicity using chemical structure information. The work focuses on the SRp53 toxicity endpoint from the Tox21 dataset. Molecular representations are generated using Morgan fingerprints combined with basic physicochemical descriptors to capture both structural and chemical characteristics of compounds. Two supervised machine learning models, Support Vector Machine (SVM) and Extreme Gradient Boosting (XGBoost), are implemented and evaluated using stratified cross-validation. Since the dataset is highly imbalanced, class imbalance handling techniques are applied during training. Model performance is assessed using ROC-AUC, Precision-Recall AUC, balanced accuracy, and Matthews correlation coefficient. Experimental results show that the XGBoost model achieves the best overall performance across most evaluation metrics. The proposed approach demonstrates that classical machine learning models with suitable molecular features can effectively identify potentially toxic compounds and support early-stage screening in drug discovery workflows. © 2026 IEEE.</t>
  </si>
  <si>
    <t xml:space="preserve">Feinberg E.N.; Joshi E.; Pande V.S.; Cheng A.C.</t>
  </si>
  <si>
    <t>172</t>
  </si>
  <si>
    <t xml:space="preserve">The absorption, distribution, metabolism, elimination, and toxicity (ADMET) properties of drug candidates are important for their efficacy and safety as therapeutics. Predicting ADMET properties has therefore been of great interest to the computational chemistry and medicinal chemistry communities in recent decades. Traditional cheminformatics approaches, using learners such as random forests and deep neural networks, leverage fingerprint feature representations of molecules. Here, we learn the features most relevant to each chemical task at hand by representing each molecule explicitly as a graph. By applying graph convolutions to this explicit molecular representation, we achieve, to our knowledge, unprecedented accuracy in prediction of ADMET properties. By challenging our methodology with rigorous cross-validation procedures and prognostic analyses, we show that deep featurization better enables molecular predictors to not only interpolate but also extrapolate to new regions of chemical space.  © 2020 American Chemical Society.</t>
  </si>
  <si>
    <t xml:space="preserve">Shao F.; Li W.; Liang Z.; Zhou Y.; Zhang D.; Chang Y.</t>
  </si>
  <si>
    <t xml:space="preserve">The rapid and precise toxicity assessment of chemical pollutants and their byproducts formed during water treatment and in aquatic environments remains a significant environmental challenge, as the predictive power of conventional quantitative structure–activity relationship (QSAR) models is limited by their reliance on simplified molecular descriptors. To address this, ToxD4C, a novel multi-modal deep learning framework, was developed to simultaneously classify and regress 31 toxicity endpoints, covering nuclear receptor and enzyme panels, stress response assays, mutagenicity, carcinogenicity, cardiopulmonary toxicity, and various environmental toxicities of concern for water quality management. ToxD4C uniquely integrates three-dimensional molecular geometries, graph attention networks, and SE(3)-equivariant Transformer architectures, effectively capturing complex stereochemical and electronic molecular features. In parallel, a pretrained Uni-Mol model was fine-tuned via transfer learning on Density Functional Theory (DFT)-optimized structures, independently generating normalized toxicity predictions with enhanced reliability and generalization. Both approaches outperformed traditional descriptor-based models across validation tests. Feature‑attribution analysis (SHAP) highlighted key physicochemical drivers of predicted toxicity, and receptor docking offered mechanistic context for selected receptor‑mediated endpoints. Applied to realistic UV/H₂O₂ advanced oxidation scenarios in a real water matrix, this approach efficiently identified high-risk transformation products, and their predicted toxicity was further validated in vitro using JC-1 mitochondrial membrane potential, CCK-8 cell viability, and nuclear receptor/stress-response reporter assays. These tools are integrated within the open-source Tox-Agents platform, enabling rapid and interpretable decision-making for water treatment and environmental risk assessment. © 2026 Elsevier Ltd</t>
  </si>
  <si>
    <t xml:space="preserve">Lin Y.; Yang X.; Zhang M.; Cheng J.; Lin H.; Zhao Q.</t>
  </si>
  <si>
    <t xml:space="preserve">As compound concentrations in aquatic environments increase, the habitat degradation of aquatic organisms underscores the growing importance of studying the impact of chemicals on diverse aquatic populations. Understanding the potential impacts of different chemical substances on different species is a necessary requirement for protecting the environment and ensuring sustainable human development. In this regard, deep learning methods offer significant advantages over traditional experimental approaches in terms of cost, accuracy, and generalization ability. This research introduces CLSSATP, an efficient contrastive self-supervised learning deep neural network prediction model for organic toxicity. The model integrates two modules, a self-supervised learning module using molecular fingerprints for representation, and a contrastive learning module utilizing molecular graphs. Through dual-perspective learning, the model gains clear insights into the structural and property relationships of molecules. The experiment results indicate that our model outperforms comparative methods, demonstrating the effectiveness of our proposed architecture. Moreover, ablation experiments show that the self-supervised module and contrastive learning module respectively provide average performance improvements of 9.43 % and 10.98 % to CLSSATP. Furthermore, by visualizing the representations of our model, we observe that it correctly identifies the substructures that determine the molecular properties, granting itself with interpretability. In conclusion, CLSSATP offers a novel and effective perspective for future research in aquatic toxicity assessment. All of codes and datasets are freely available online at https://github.com/zhaoqi106/CLSSATP. © 2025</t>
  </si>
  <si>
    <t xml:space="preserve">Venkatraman V.</t>
  </si>
  <si>
    <t>121</t>
  </si>
  <si>
    <t xml:space="preserve">Motivation: The absorption, distribution, metabolism, excretion, and toxicity (ADMET) of drugs plays a key role in determining which among the potential candidates are to be prioritized. In silico approaches based on machine learning methods are becoming increasing popular, but are nonetheless limited by the availability of data. With a view to making both data and models available to the scientific community, we have developed FPADMET which is a repository of molecular fingerprint-based predictive models for ADMET properties. Summary: In this article, we have examined the efficacy of fingerprint-based machine learning models for a large number of ADMET-related properties. The predictive ability of a set of 20 different binary fingerprints (based on substructure keys, atom pairs, local path environments, as well as custom fingerprints such as all-shortest paths) for over 50 ADMET and ADMET-related endpoints have been evaluated as part of the study. We find that for a majority of the properties, fingerprint-based random forest models yield comparable or better performance compared with traditional 2D/3D molecular descriptors. Availability: The models are made available as part of open access software that can be downloaded from https://gitlab.com/vishsoft/fpadmet. © 2021, The Author(s).</t>
  </si>
  <si>
    <t xml:space="preserve">Yang R.; Zhu Z.; Wang F.; Yang G.</t>
  </si>
  <si>
    <t xml:space="preserve">Ecotoxicity assessments, which rely on animal testing, face serious challenges, including high costs and ethical concerns. Computational toxicology presents a promising alternative; nevertheless, existing predictive models encounter difficulties such as limited datasets and pronounced overfitting. To address these issues, we propose a framework for predicting pesticide ecotoxicity using graph contrastive learning (PE-GCL). By pre-training on large-scale unlabeled compounds, the PE-GCL captured the intrinsic regulation of molecules. This knowledge is then transferred to specific downstream tasks, thereby enhancing the model generalization in scenarios with small sample sizes. Performance evaluation showed that the PE-GCL outperformed traditional supervised models across most prediction tasks, whereas independent external validation confirmed its superior predictive accuracy for unseen data. Furthermore, interpretability was incorporated to elucidate potential correlations between ecotoxicity and molecular substructures. The trained models were deployed on a publicly accessible web server (https://dpai.ccnu.edu.cn/PERA/) to facilitate the use of the proposed framework. © 2025 Elsevier B.V.</t>
  </si>
  <si>
    <t xml:space="preserve">Yan H.; Ma Y.; Xu X.; Gu C.; Wu X.</t>
  </si>
  <si>
    <t xml:space="preserve">Efficient identification of persistent, bioaccumulative, and toxic (PBT) chemicals is crucial for chemical risk management. However, established machine learning or QSAR models often rely on descriptors or molecular graph, facing inherent trade-offs among predictive performance, interpretability, and computational efficiency. In this study, a computationally efficient and interpretable framework was developed based on a curated dataset containing 1749 confirmed PBT chemicals and 2775 non-PBT chemicals, compiled from regulatory inventories, peer-reviewed literature, and experimental records. Twenty-four descriptors and one hundred and sixty-six MACCS fingerprints were used to represent molecular structures. Nine widely used algorithms were systematically evaluated under a fixed data split and hyperparameter-tuning protocol, reporting multi-metric predictive performance together with quantified compute overhead (training/tuning and inference burden). CatBoost achieved the best performance with generalization F1-score of 0.9153 and was selected for subsequent reliability and interpretability analyses. SHAP analysis identified halogenation, molecular complexity, and lipophilicity as dominant decision drivers in the model for PBT classification and SHAP interaction analysis indicated non-additive dependencies among these drivers. A similarity-defined applicability domain (AD) and activity-cliff flagging were used to mark low-confidence subdomains for expert review or additional evidence assessment in external screening. The framework was also benchmarked against the OECD QSAR Toolbox, evaluating strict coverage and performance on matched comparable subsets. Overall, the proposed framework balanced predictive accuracy, interpretability, and computational efficiency, providing a practical tool for high-throughput PBT screening. © 2026 The Author(s)</t>
  </si>
  <si>
    <t xml:space="preserve">Kurosaki K.; Wu R.; Uesawa Y.</t>
  </si>
  <si>
    <t>39</t>
  </si>
  <si>
    <t xml:space="preserve">Because the health effects of many compounds are unknown, regulatory toxicology must often rely on the development of quantitative structure–activity relationship (QSAR) models to efficiently discover molecular initiating events (MIEs) in the adverse-outcome pathway (AOP) framework. However, the QSAR models used in numerous toxicity prediction studies are publicly unavailable, and thus, they are challenging to use in practical applications. Approaches that simultaneously identify the various toxic responses induced by a compound are also scarce. The present study develops Toxicity Predictor, a web application tool that comprehensively identifies potential MIEs. Using various chemicals in the Toxicology in the 21st Century (Tox21) 10K library, we identified potential endocrine-disrupting chemicals (EDCs) using a machine-learning approach. Based on the optimized three-dimensional (3D) molecular structures and XGBoost algorithm, we established molecular descriptors for QSAR models. Their predictive performances and applicability domain were evaluated and applied to Toxicity Predictor. The prediction performance of the constructed models matched that of the top model in the Tox21 Data Challenge 2014. These advanced prediction results for MIEs are freely available on the Internet. © 2020 by the authors. Licensee MDPI, Basel, Switzerland.</t>
  </si>
  <si>
    <t xml:space="preserve">Das S.; Ojha P.K.</t>
  </si>
  <si>
    <t xml:space="preserve">The extensive application of chemicals in the form of pesticides, cosmetics, drugs, etc., has been shown to adversely affect humans and the environment, mainly through food product residues and environmental exposure. Exposure to diverse chemicals through various routes including ingestion, inhalation, and dermal contact is associated with multiple health risks including endocrine disruption, cancer, and neurotoxicity. This study presents an advanced computational approach using quantitative structure-activity relationship (QSAR) and quantitative read-across structure-activity relationship (q-RASAR) models to predict the acute toxicity of diverse chemicals in humans, with the negative logarithm of the lowest published toxic dose (pTDLo) endpoint. We developed the first-ever predictive toxicity models combining QSAR and similarity-based read-across techniques to enhance accuracy, utilizing the TOXRIC database. The q-RASAR model outperformed traditional QSAR approaches, achieving robust statistical performance with internal validation metrics of R2 = 0.710, Q2 = 0.658, and external validation metrics of Q²F1 = 0.812, Q²F2 = 0.812, Δr2m(test) = 0.087 and rm(test)2̅ = 0.741. The model identified the key structural features, such as high coefficients and variations in similarity values among closely related compounds, the presence of carbon-carbon bonds at specific topological distances (5 and 8), and higher minimum E-state indices, all of which are linked to increased toxicity toward humans. The PLS-based q-RASAR model was further utilized to screen pesticides obtained from the pesticide properties database (PPDB) and 3660 investigational drugs from the DrugBank database for potential toxicants in humans, providing a tool to identify hazardous substances and mitigate risks. The developed models are instrumental in filling eco-toxicological data gaps and facilitating the development of novel, safe, and eco-friendly chemicals. © 2025 Elsevier B.V.</t>
  </si>
  <si>
    <t xml:space="preserve">Kim D.; Jeong J.; Ahn S.; Choi J.</t>
  </si>
  <si>
    <t xml:space="preserve">Artificial intelligence (AI)-based toxicity prediction models have emerged as promising new approach methodologies (NAMs) to reduce reliance on traditional in vivo testing in chemical risk assessment. In this study, we systematically developed machine learning models using toxicity data generated in accordance with OECD Test Guidelines (TG), available in the eChemPortal database. The models targeted endpoints regulated under major chemical frameworks, including Korea's Act on the Registration and Evaluation of Chemical Substances (K-REACH) and the Consumer Chemical Products and Biocides Safety Control Act (K-BPR), as well as the European Union's Registration, Evaluation, Authorization and Restriction of Chemicals (EU REACH) and Biocidal Products Regulation (EU BPR). A comprehensive training dataset was curated by harmonizing dose descriptors, effect levels, and exposure routes. Model features were generated using four types of molecular fingerprints (MACCS, Morgan, RDKit, and Layered), and five machine learning algorithms—Logistic Regression, Decision Tree, Random Forest, Gradient Boosting Tree, and XGBoost—were trained. Model performance was evaluated using standard metrics, including F1 score, precision, recall, accuracy, AUC-ROC. In total, 680 models were developed for 17 TG-based endpoints. The best-performing model for each endpoint was selected based on its F1 score. Machine learning models predicting acute toxicity (TG 420, 402, 403), developmental toxicity (TG 414), carcinogenicity (TG 453), and ecotoxicity (TG 201, 202, 203, 210, 211) demonstrated acceptable performance (F1 score ≥ 0.5), whereas models for other endpoints require further improvement. Based on these findings, we suggest key challenges and considerations for applying machine learning models trained on OECD TG data to support next generation chemical risk assessment (NGRA). © 2025 The Authors</t>
  </si>
  <si>
    <t xml:space="preserve">Kumar A.; Ojha P.K.; Roy K.</t>
  </si>
  <si>
    <t xml:space="preserve">Chronic toxicity is one of the most important toxicological endpoints related to human health. Since experimental tests are costly and difficult, in silico methods are crucial to assessing the chronic toxicity of compounds. There are only very few QSAR studies available on chronic toxicity prediction. This study aimed to develop a QSAR model using 650 diverse and complex compounds based on the lowest observed adverse effect level (LOAEL), which was determined in rats by orally exposing them to these compounds. We have extracted important descriptors from a pool of 868 descriptors using stepwise regression and a genetic algorithm. We validated the developed partial least squares (PLS) model statistically, and the results demonstrate the model's reliability, robustness, and predictive ability (R2 = 0.60, Q2 (LOO) = 0.58, Q2 F1 = 0.56, and Q2 F2 = 0.56). Our validated models were also used to assess the chronic toxicity of 11,300 pharmaceuticals present in the DrugBank database. It has been found that hydrophobicity, electronegativity, lipophilicity, bulkiness, complex chemical structure, bridgehead atoms, and phosphate group play a crucial role in chronic toxicity. Therefore, these markers can be used to synthesize safe, and eco-friendly organic chemicals. © 2023 Elsevier B.V.</t>
  </si>
  <si>
    <t xml:space="preserve">Salimi A.; Lee J.Y.</t>
  </si>
  <si>
    <t xml:space="preserve">Computational methods are crucial for assessing chemical biodegradability, given their significant impact on both environmental and human health. Organic compounds that are not biodegradable can persist in the environment, contributing to pollution. Our novel approach leverages graph attention networks (GATs) and incorporates node and edge attributes for biodegradability prediction. Quantitative Structure-Activity Relationship (QSAR) models using two-dimensional descriptors alongside weighted average and stacking approaches were employed to generate ensemble models. The GAT models demonstrated a stable function and generally higher specificity on the validation set compared to a graph convolutional network, although definitive superiority is challenging to establish owing to overlapping standard deviations. However, the sensitivities tended to decrease with potential performance overlap owing to the interval intersection. Ensemble learning enhanced several performance metrics compared with individual models and base models, with the combination of extreme Gradient Boosting and GAT achieving the highest precision and specificity. Combining GAT with random forest and Gradient Boosting may be preferable for accurately predicting biodegradable molecules, whereas the stacking approach may be suitable for prioritizing the correct classification of nonbiodegradable substances. Important descriptors, such as SpMax1_Bh(m) and SAscore, were identified in at least two QSAR models. Despite inherent complexities, the ease of implementation depends on factors such as data availability, and domain knowledge. Assessing the biodegradability of organic compounds is essential for reducing their environmental impact, assessing risks, ensuring regulatory compliance, promoting sustainable development, and supporting effective pollution remediation. It assists in making informed decisions about chemical use, waste management, and environmental protection. © 2025 The Royal Society of Chemistry.</t>
  </si>
  <si>
    <t xml:space="preserve">Daghighi A.; Casanola-Martin G.M.; Iduoku K.; Kusic H.; González-Díaz H.; Rasulev B.</t>
  </si>
  <si>
    <t xml:space="preserve">In recent years, alternative animal testing methods such as computational and machine learning approaches have become increasingly crucial for toxicity testing. However, the complexity and scarcity of available biomedical data challenge the development of predictive models. Combining nonlinear machine learning together with multicondition descriptors offers a solution for using data from various assays to create a robust model. This work applies multicondition descriptors (MCDs) to develop a QSTR (Quantitative Structure-Toxicity Relationship) model based on a large toxicity data set comprising more than 80,000 compounds and 59 different end points (122,572 data points). The prediction capabilities of developed single-task multi-end point machine learning models as well as a novel data analysis approach with the use of Convolutional Neural Networks (CNN) are discussed. The results show that using MCDs significantly improves the model and using them with CNN-1D yields the best result (R2train = 0.93, R2ext = 0.70). Several structural features showed a high level of contribution to the toxicity, including van der Waals surface area (VSA), number of nitrogen-containing fragments (nN+), presence of S-P fragments, ionization potential, and presence of C-N fragments. The developed models can be very useful tools to predict the toxicity of various compounds under different conditions, enabling quick toxicity assessment of new compounds. © 2024 American Chemical Society</t>
  </si>
  <si>
    <t xml:space="preserve">Sharma B.; Chenthamarakshan V.; Dhurandhar A.; Pereira S.; Hendler J.A.; Dordick J.S.; Das P.</t>
  </si>
  <si>
    <t>100</t>
  </si>
  <si>
    <t xml:space="preserve">Explainable machine learning for molecular toxicity prediction is a promising approach for efficient drug development and chemical safety. A predictive ML model of toxicity can reduce experimental cost and time while mitigating ethical concerns by significantly reducing animal and clinical testing. Herein, we use a deep learning framework for simultaneously modeling in vitro, in vivo, and clinical toxicity data. Two different molecular input representations are used; Morgan fingerprints and pre-trained SMILES embeddings. A multi-task deep learning model accurately predicts toxicity for all endpoints, including clinical, as indicated by the area under the Receiver Operator Characteristic curve and balanced accuracy. In particular, pre-trained molecular SMILES embeddings as input to the multi-task model improved clinical toxicity predictions compared to existing models in MoleculeNet benchmark. Additionally, our multitask approach is comprehensive in the sense that it is comparable to state-of-the-art approaches for specific endpoints in in vitro, in vivo and clinical platforms. Through both the multi-task model and transfer learning, we were able to indicate the minimal need of in vivo data for clinical toxicity predictions. To provide confidence and explain the model’s predictions, we adapt a post-hoc contrastive explanation method that returns pertinent positive and negative features, which correspond well to known mutagenic and reactive toxicophores, such as unsubstituted bonded heteroatoms, aromatic amines, and Michael receptors. Furthermore, toxicophore recovery by pertinent feature analysis captures more of the in vitro (53%) and in vivo (56%), rather than of the clinical (8%), endpoints, and indeed uncovers a preference in known toxicophore data towards in vitro and in vivo experimental data. To our knowledge, this is the first contrastive explanation, using both present and absent substructures, for predictions of clinical and in vivo molecular toxicity. © 2023, The Author(s).</t>
  </si>
  <si>
    <t xml:space="preserve">Moukheiber L.; Mangione W.; Moukheiber M.; Maleki S.; Falls Z.; Gao M.; Samudrala R.</t>
  </si>
  <si>
    <t xml:space="preserve">Humans are exposed to numerous compounds daily, some of which have adverse effects on health. Computational approaches for modeling toxicological data in conjunction with machine learning algorithms have gained popularity over the last few years. Machine learning approaches have been used to predict toxicity-related biological activities using chemical structure descriptors. However, toxicity-related proteomic features have not been fully investigated. In this study, we construct a computational pipeline using machine learning models for predicting the most important protein features responsible for the toxicity of compounds taken from the Tox21 dataset that is implemented within the multiscale Computational Analysis of Novel Drug Opportunities (CANDO) therapeutic discovery platform. Tox21 is a highly imbalanced dataset consisting of twelve in vitro assays, seven from the nuclear receptor (NR) signaling pathway and five from the stress response (SR) pathway, for more than 10,000 compounds. For the machine learning model, we employed a random forest with the combination of Synthetic Minority Oversampling Technique (SMOTE) and the Edited Nearest Neighbor (ENN) method (SMOTE+ENN), which is a resampling method to balance the activity class distribution. Within the NR and SR pathways, the activity of the aryl hydrocarbon receptor (NR-AhR) and the mitochondrial membrane potential (SR-MMP) were two of the top-performing twelve toxicity endpoints with AUCROCs of 0.90 and 0.92, respectively. The top extracted features for evaluating compound toxicity were analyzed for enrichment to highlight the implicated biological pathways and proteins. We validated our enrichment results for the activity of the AhR using a thorough literature search. Our case study showed that the selected enriched pathways and proteins from our computational pipeline are not only correlated with AhR toxicity but also form a cascading upstream/downstream arrangement. Our work elucidates significant relationships between protein and compound interactions computed using CANDO and the associated biological pathways to which the proteins belong for twelve toxicity endpoints. This novel study uses machine learning not only to predict and understand toxicity but also elucidates therapeutic mechanisms at a proteomic level for a variety of toxicity endpoints. © 2022 by the authors. Licensee MDPI, Basel, Switzerland.</t>
  </si>
  <si>
    <t xml:space="preserve">Zushi Y.</t>
  </si>
  <si>
    <t xml:space="preserve">Recently developed quantitative structure–activity relationship (QSAR) prediction uses machine learning techniques with analytical signals from the full scan of mass spectra as input, and does not need exhaustive structural determination to assess unknown compounds. The QSAR approach assumes that a mass spectral pattern reflects the structure of a target chemical. However, the relationship between the spectrum and structure is complex, and requirement of its interpretation could restrict further development of QSAR prediction methods based on analytical signals. In this study, whether gas chromatography-electron-impact ionization-mass spectrometry (GC-EI-MS) data contain meaningful structural information that assists QSAR prediction was determined by comparing it with the traditional molecular descriptor used in QSAR prediction. Four molecular descriptors were used: ECFP6, topological descriptor in CDK, MACCS key, and PubChem fingerprint. The predictive performance of QSAR based on analytical and molecular descriptors was evaluated in terms of molecular weight, log Ko-w, boiling point, melting point, water solubility, and two oral toxicities in rats and mice. The influential variables were further investigated by comparing analytical-descriptor-based and linear regression models using simple indicators of the mass spectrum. The investigation indicated that the analytical and molecular descriptors preserved structural information differently. However, their performance was comparable. The analytical-descriptor-based approach predicted the physicochemical properties and toxicities of structurally unknown chemicals, which was beyond the scope of the molecular-descriptor-based approach. The QSAR approach based on analytical signals is valuable for evaluating unknown chemicals in many scenarios. © 2025 by the author.</t>
  </si>
  <si>
    <t xml:space="preserve">Xu Y.; Pei J.; Lai L.</t>
  </si>
  <si>
    <t>229</t>
  </si>
  <si>
    <t xml:space="preserve">Median lethal death, LD50, is a general indicator of compound acute oral toxicity (AOT). Various in silico methods were developed for AOT prediction to reduce costs and time. In this study, we developed an improved molecular graph encoding convolutional neural networks (MGE-CNN) architecture to construct three types of high-quality AOT models: regression model (deepAOT-R), multiclassification model (deepAOT-C), and multitask model (deepAOT-CR). These predictive models highly outperformed previously reported models. For the two external data sets containing 1673 (test set I) and 375 (test set II) compounds, the R2 and mean absolute errors (MAEs) of deepAOT-R on the test set I were 0.864 and 0.195, and the prediction accuracies of deepAOT-C were 95.5% and 96.3% on test sets I and II, respectively. The two external prediction accuracies of deepAOT-CR are 95.0% and 94.1%, while the R2 and MAE are 0.861 and 0.204 for test set I, respectively. We then performed forward and backward exploration of deepAOT models for deep fingerprints, which could support shallow machine learning methods more efficiently than traditional fingerprints or descriptors. We further performed automatic feature learning, a key essence of deep learning, to map the corresponding activation values into fragment space and derive AOT-related chemical substructures by reverse mining of the features. Our deep learning architecture for AOT is generally applicable in predicting and exploring other toxicity or property end points of chemical compounds. The two deepAOT models are freely available at http://repharma.pku.edu.cn/DLAOT/DLAOThome.php or http://www.pkumdl.cn/DLAOT/DLAOThome.php. © 2017 American Chemical Society.</t>
  </si>
  <si>
    <t xml:space="preserve">Jia C.; Li X.; Hu S.; Liu G.; Fang J.; Zhou X.; Yan X.; Yan B.</t>
  </si>
  <si>
    <t xml:space="preserve">Traditional Chinese medicine (TCM) has been a cornerstone of health care for centuries, valued for its preventive and therapeutic properties. However, recent decades have revealed significant toxicological concerns associated with TCMs due to their complex chemical compositions. Traditional QSAR (quantitative structure-activity relationships) models, which predict toxicity based on chemical structures, face challenges with the intricate nature of TCM compounds. In this study, we effectively resolved this issue by correlating the toxicity of TCMs with advanced analytical descriptors from electron ionization mass spectra (EI-MS) data. The optimal classification model achieved a balanced accuracy of over 0.74. Through interpretable machine learning models, we identified specific toxic components, such as 13-hexyloxacyclotridec-10-en-2-one and loliolide. We applied molecular dynamics (MD) simulations to explore the interactions of identified toxic components with crucial protein targets, using hepatic cytochrome P450 3A4 as an example. This novel approach not only enhances our understanding of the toxicological profiles of TCMs but also maximizes their therapeutic benefits while minimizing adverse effects. More importantly, our findings support the application of analytical descriptor-based machine learning in predicting the toxicity of unknown mixtures in the real environment. © 2024 American Chemical Society.</t>
  </si>
  <si>
    <t xml:space="preserve">Shi J.; Zheng W.H.; Yuan X.J.; De Wei Y.; Zhang K.</t>
  </si>
  <si>
    <t xml:space="preserve">The rapid advancement of modern industry has led to a substantial escalation in the probability of accidents involving hazardous chemicals across the life cycle of products, including storage, use, and disposal. The increasing recognition of the impact of toxic chemicals on human health underscores the growing significance of conducting research on toxicity indicators. In this study, the acute exposure guideline levels (AEGL) of aliphatic compounds were predicted using the quantitative structure activity relationship (QSAR) method. We collected and organized a sample set of 90 aliphatic compounds from the U.S. Environmental Protection Agencys' database. The molecular structures of these compounds were graphed, and a genetic algorithm was used to select eight feature molecular descriptors as input variables for our models. We developed individual models, namely, gradient boosting decision tree (GBDT), extreme gradient boosting (XGBoost), and extremely randomized trees (ERT), to forecast AEGL values. Subsequently, we used a voting regressor (VR) model to combine these three models and address any potential limitations in their predictions. Furthermore, we conducted a comparative analysis of the performance of these four models on both training and testing datasets, with the VR model demonstrating superior performance. In the VR model, the R2 values for the training set and test set were 0.940 and 0.951, respectively. The root-mean-square error values for the training set and test set were 0.321 and 0.143, respectively. The mean absolute error values for the training set and test set were 0.155 and 0.104, respectively. Williams plots were utilized for characterizing the model's applicability domain. The results demonstrate that a majority of the data points fall within this domain, affirming the suitability of the established model for predicting samples within it. This study uses QSAR methodology to establish GBDT, XGBoost, ERT, and VR models for AEGL prediction, thereby providing robust theoretical and technical support for constructing a toxicity index system. © 2025 The Author(s). Published by Oxford University Press on behalf of the Society of Environmental Toxicology and Chemistry. All rights reserved.</t>
  </si>
  <si>
    <t xml:space="preserve">Yan J.; Shen Z.</t>
  </si>
  <si>
    <t xml:space="preserve">Given the widespread presence of emerging contaminants in the environment, assessing and ensuring their biosafety is urgent. Under the Globally Harmonized System (GHS), the LD50 parameter of acute oral toxicity (AOT) is crucial for chemical safety classification. Animal testing limitations have highlighted the need for alternative methods, and machine learning offers a new approach to predict LD50 through quantitative structure-activity relationship (QSAR) models. This study developed and optimized a machine learning model for LD50 classification of emerging contaminants based on data from more than 6000 known AOT. Using molecular descriptors and fingerprints, the model achieves an accuracy above 0.86 and a recall score over 0.84, outperforming previous models. The model’s robustness was confirmed across various types of emerging contaminants. Shapley additive explanations (SHAP) identified key descriptors like BCUTp_1h, ATSC1pe, and SLogP_VSA4, while the information gain (IG) method highlighted alert substructures [P-O, P-S]. These findings suggest that compounds with high polarizability, mean electronegativity and significant surface area may adversely affect rats. This model enhances understanding of acute toxicity mechanisms and serves as a tool for early screening of safer compounds, promoting the design of greener chemicals. © 2025 Informa UK Limited, trading as Taylor &amp; Francis Group.</t>
  </si>
  <si>
    <t xml:space="preserve">Sharma A.K.; Srivastava G.N.; Roy A.; Sharma V.K.</t>
  </si>
  <si>
    <t>68</t>
  </si>
  <si>
    <t xml:space="preserve">The experimental methods for the prediction of molecular toxicity are tedious and time-consuming tasks. Thus, the computational approaches could be used to develop alternative methods for toxicity prediction. We have developed a tool for the prediction of molecular toxicity along with the aqueous solubility and permeability of any molecule/metabolite. Using a comprehensive and curated set of toxin molecules as a training set, the different chemical and structural based features such as descriptors and fingerprints were exploited for feature selection, optimization and development of machine learning based classification and regression models. The compositional differences in the distribution of atoms were apparent between toxins and non-toxins, and hence, the molecular features were used for the classification and regression. On 10-fold cross-validation, the descriptor-based, fingerprint-based and hybrid-based classification models showed similar accuracy (93%) and Matthews's correlation coefficient (0.84). The performances of all the three models were comparable (Matthews's correlation coefficient = 0.84-0.87) on the blind dataset. In addition, the regression-based models using descriptors as input features were also compared and evaluated on the blind dataset. Random forest based regression model for the prediction of solubility performed better (R2 = 0.84) than the multi-linear regression (MLR) and partial least square regression (PLSR) models, whereas, the partial least squares based regression model for the prediction of permeability (caco-2) performed better (R2 = 0.68) in comparison to the random forest and MLR based regression models. The performance of final classification and regression models was evaluated using the two validation datasets including the known toxins and commonly used constituents of health products, which attests to its accuracy. The ToxiM web server would be a highly useful and reliable tool for the prediction of toxicity, solubility, and permeability of small molecules. © 2017 Sharma, Srivastava, Roy and Sharma.</t>
  </si>
  <si>
    <t xml:space="preserve">Ciallella H.L.; Russo D.P.; Aleksunes L.M.; Grimm F.A.; Zhu H.</t>
  </si>
  <si>
    <t>51</t>
  </si>
  <si>
    <t xml:space="preserve">As defined by the World Health Organization, an endocrine disruptor is an exogenous substance or mixture that alters function(s) of the endocrine system and consequently causes adverse health effects in an intact organism, its progeny, or (sub)populations. Traditional experimental testing regimens to identify toxicants that induce endocrine disruption can be expensive and time-consuming. Computational modeling has emerged as a promising and cost-effective alternative method for screening and prioritizing potentially endocrine-active compounds. The efficient identification of suitable chemical descriptors and machine-learning algorithms, including deep learning, is a considerable challenge for computational toxicology studies. Here, we sought to apply classic machine-learning algorithms and deep-learning approaches to a panel of over 7500 compounds tested against 18 Toxicity Forecaster assays related to nuclear estrogen receptor (ERα and ERβ) activity. Three binary fingerprints (Extended Connectivity FingerPrints, Functional Connectivity FingerPrints, and Molecular ACCess System) were used as chemical descriptors in this study. Each descriptor was combined with four machine-learning and two deep- learning (normal and multitask neural networks) approaches to construct models for all 18 ER assays. The resulting model performance was evaluated using the area under the receiver- operating curve (AUC) values obtained from a fivefold cross-validation procedure. The results showed that individual models have AUC values that range from 0.56 to 0.86. External validation was conducted using two additional sets of compounds (n = 592 and n = 966) with established interactions with nuclear ER demonstrated through experimentation. An agonist, antagonist, or binding score was determined for each compound by averaging its predicted probabilities in relevant assay models as an external validation, yielding AUC values ranging from 0.63 to 0.91. The results suggest that multitask neural networks offer advantages when modeling mechanistically related endpoints. Consensus predictions based on the average values of individual models remain the best modeling strategy for computational toxicity evaluations. © 2020, The Author(s), under exclusive licence to United States and Canadian Academy of Pathology.</t>
  </si>
  <si>
    <t xml:space="preserve">Thombre S.; Bonde C.; Kharkar P.; Gawad J.</t>
  </si>
  <si>
    <t xml:space="preserve">Drug induced liver toxicity remains the most common cause of acute liver failure. Conventional toxicity detection relies on resource-intensive in vivo and in vitro assays that are costly, time-consuming, and poorly scalable to the volumes of candidate compounds typical of modern drug discovery. Robust, interpretable computational tools capable of early stage hepatotoxicity prediction from molecular structure alone are therefore urgently required. A curated multi source dataset of 6,219 compounds was gathered from four publicly available datasets: FDA DILIst, LTKB Benchmark, Open TG-GATEs, and ToxRIC. Seven machine learning algorithms including linear and nonlinear, Logistic Regression, Support Vector Machine, k-Nearest Neighbours, Random Forest, Gradient Boosting, AdaBoost, and XGBoosts were systematically benchmarked within a unified, leak-free pre processing pipeline incorporating median imputation, variance-based feature filtering, SMOTE applied exclusively within stratified fivefold cross-validation folds, and Z-score scaling. Molecular features calculate by using RDKIT included physicochemical, topological, and electronic descriptors, combined with ECFP4 circular fingerprints. Hyper parameter optimisation done by using Grid Search CV and Randomized Search CV, with ROC-AUC as the scoring objective, with (n-estimators = 388, max-depth = 15) achieved a test set ROC-AUC of 0.728, a recall of 0.706, and an F1-score of 0.700. External validation on an independent 50 compound set yielded ROC-AUC of 0.741, confirming consistent generalisation. SHAP Tree-Explainer analysis identified ECFP4 circular fingerprint bits encoding reactive substructural environments and VSA-type descriptors (SlogP_VSA6/7, PEOE_VSA9/10) as the primary structural drivers of hepatotoxicity predictions, consistent with lipophilic accumulation and CYP enzyme inhibition as DILI mechanisms. Applicability domain analysis using the leverage-based hat matrix method confirmed substantially higher prediction reliability for within-domain compounds, providing confidence bounds essential for prospective screening applications. SHAP and LIME consensus analysis validated the importance of descriptors across two independent interpretability frameworks, strengthening the mechanistic credibility of the identified structural features. The developed model provides a reproducible, interpretable, and externally validated computational tool for early-stage hepatotoxicity screening, capable of correctly identifying approximately 71% of hepatotoxic compounds before experimental testing, thereby supporting more efficient and cost-effective prioritisation of drug candidates in the safety evaluation pipeline. © The Author(s), under exclusive licence to Springer Nature Switzerland AG 2026.</t>
  </si>
  <si>
    <t xml:space="preserve">Yin Z.; Zhang M.; Liu R.; Cai Y.</t>
  </si>
  <si>
    <t xml:space="preserve">The extensive use of per- and polyfluoroalkyl substances (PFAS) in industrial and consumer products poses health risks due to their toxicity. Computational toxicology approaches, particularly quantitative structure-activity relationship (QSAR) models are essential for predicting PFAS bioactivity. However, established QSAR models including machine learning-based ones with traditional molecular descriptors such as constitutional, topological, and geometric descriptors, have limited predictive capability and interpretability. Herein, we proposed a novel machine learning approach that leverages quantitative molecular surface analysis (QMSA) of molecular electrostatic potential. Using QMSA descriptors, five machine learning models (e.g., random forest) achieved outstanding performance, with best accuracy of 0.950 ± 0.017, AUC-ROC of 0.938 ± 0.012, F1-score of 0.734 ± 0.024, and MCC of 0.684 ± 0.111 for five targets (tyrosyl-DNA phosphodiesterase 1 in the absence/presence of camptothecin, ATXN2 protein, transcription factor SMAD3, and transcription factor NRF2), which outperform previously reported models. SHAP analyses revealed that estimated density, molecular volume, positive surface area, and nonpolar surface area were the most important descriptors. These descriptors were deeply involved in PFAS binding to target proteins via non-covalent interactions as evidenced by molecular docking and molecular dynamics simulations. Our results demonstrated that QMSA descriptors-based machine learning models are capable of predicting PFAS toxicity with extraordinary performance and interpretability. This study provides a novel machine learning framework for the high-throughput and cost-effective screening of high-risk emerging PFAS in aquatic environments. By identifying the contaminants that should be prioritized for regulation and treatment among the growing number of PFAS, our work aids in water quality monitoring and risk assessment, and guides decision-making in aquatic environmental management. Furthermore, this work enhances our understanding of the molecular mechanisms involved in PFAS bioactivity. © 2025 Elsevier Ltd</t>
  </si>
  <si>
    <t xml:space="preserve">Zhang Y.; Xie L.; Zhang D.; Xu X.; Xu L.</t>
  </si>
  <si>
    <t xml:space="preserve">Persistent organic pollutants (POPs) are ubiquitous and bioaccumulative, posing potential and long-term threats to human health and the ecological environment. Quantitative structure–activity relationship (QSAR) studies play a guiding role in analyzing the toxicity and environmental fate of different organic pollutants. In the current work, five molecular descriptors are utilized to construct QSAR models for predicting the mean and maximum air half-lives of POPs, including specifically the energy of the highest occupied molecular orbital (HOMO_Energy_DMol3), a component of the dipole moment along the z-axis (Dipole_Z), fragment contribution to SAscore (SAscore_Fragments), subgraph counts (SC_3_P), and structural information content (SIC). The QSAR models were achieved through the application of three machine learning methods: partial least squares (PLS), multiple linear regression (MLR), and genetic function approximation (GFA). The determination coefficients (R2) and relative errors (RE) for the mean air half-life of each model are 0.916 and 3.489% (PLS), 0.939 and 5.048% (MLR), 0.938 and 5.131% (GFA), respectively. Similarly, the determination coefficients (R2) and RE for the maximum air half-life of each model are 0.915 and 5.629% (PLS), 0.940 and 10.090% (MLR), 0.939 and 11.172% (GFA), respectively. Furthermore, the mechanisms that elucidate the significant factors impacting the air half-lives of POPs have been explored. The three regression models show good predictive and extrapolation abilities for POPs within the application domain. © 2023 by the authors.</t>
  </si>
  <si>
    <t xml:space="preserve">Wang X.; Li F.; Chen J.; Teng Y.; Ji C.; Wu H.</t>
  </si>
  <si>
    <t xml:space="preserve">Facing billions of tons of pollutants entering the ocean each year, aquatic toxicity is becoming a crucial endpoint for evaluating chemical adverse effects on ecosystems. Notably, huge amount of toxic chemicals at environmental relevant doses can cause potential adverse effects. However, chronic aquatic toxicity effects of chemicals are much scarcer, especially at population level. Rotifers are highly sensitive to toxicants even at chronic low-doses and their communities are usually considered as effective indicators for assessing the status of aquatic ecosystems. Therefore, the no observed effect concentration (NOEC) for population abundance of rotifers were selected as endpoints to develop machine learning models for the prediction of chemical aquatic chronic toxicity. In this study, forty-eight binary models were built by eight types of chemical descriptors combined with six machine learning algorithms. The best binary model was 1D &amp; 2D molecular descriptors – random trees model (RT) with high balanced accuracy (BA) (0.83 for training and 0.83 for validation set), and Matthews correlation coefficient (MCC) (0.72 for training set and 0.67 for validation set). Moreover, the optimal model identified the primary factors (SpMAD_Dzp, AMW, MATS2v) and filtered out three high alerting substructures [c1cc(Cl)cc1, CNCO, CCOP(=S)(OCC)O] influencing the chronic aquatic toxicity. These results showed that the compounds with low molecular volume, high polarity and molecular weight could contribute to adverse effects on rotifers, facilitating the deeper understanding of chronic toxicity mechanisms. In addition, forecast models had better performances than the common models embedded into ECOSAR software. This study provided insights into structural features responsible for the toxicity of different groups of chemicals and thereby allowed for the rational design of green and safer alternatives. © 2022 Elsevier Ltd</t>
  </si>
  <si>
    <t xml:space="preserve">Douali L.</t>
  </si>
  <si>
    <t xml:space="preserve">Quantitative structure-activity relationships (QSAR) are relevant techniques that assist biologists and chemists in accelerating the drug design process and help understanding many biological and chemical mechanisms. Using classical statistical methods may affect the accuracy and the reliability of the developed QSAR models. This work aims to use a machine learning approach to establish a QSAR model for phenols cytotoxicity prediction. This issue concern many chemists and biologists. In this investigation, the dataset is diverse, and the cytotoxicity data are sparse. Multi-component description of the compounds has then been considered. A set of molecular descriptors fed the deep neural network (DNN) and served to train the DNN. The established DNN model was able to predict the cytotoxicity of the phenols at high precision. The correlation coefficient at the fitting stage was higher than other statistical methods reported in the literature or developed in the present work, specifically multiple linear regression (MLR) and shallow artificial neural networks (ANN), and was equal to 0.943. The predictive capability of the model, as estimated by the coefficient of determination on an external predictive dataset, was significantly high and was about 0.739. This finding could help implement many molecular descriptors relevant to describing the compounds, representing the effects governing the phenols cytotoxicity toward Tetrahymena pyriformis, avoiding overfitting and outlier exclusion. © 2022, Universitas Ahmad Dahlan. All rights reserved.</t>
  </si>
  <si>
    <t xml:space="preserve">Lei L.; Zhang L.; Han Z.; Chen Q.; Liao P.; Wu D.; Tai J.; Xie B.; Su Y.</t>
  </si>
  <si>
    <t xml:space="preserve">The continuously increased production of various chemicals and their release into environments have raised potential negative effects on ecological health. However, traditional labor-intensive assessment methods cannot effectively and rapidly evaluate these hazards, especially for chronic risk. In this study, machine learning (ML) was employed to construct quantitative structure-activity relationship (QSAR) models, enabling the prediction of chronic toxicity to aquatic organisms by leveraging the molecular characteristics of pollutants, namely, the molecular descriptors, fingerprints, and graphs. The limited dataset size hindered the notable advantages of the graph attention network (GAT) model for the molecular graphs. Considering computational efficiency and performance (R2 = 0.78; RMSE = 0.77), XGBoost (XGB) was used for reliable QSAR-ML models predicting chronic toxicity using small- or medium-sized tabular data and the molecular descriptors. Further kernel density estimation analysis confirmed the high accuracy of the model for pollutant concentrations ranging from 10−3 to 102 mg/L, effectively aligning with most environmental scenarios. Model interpretation showed SlogP and exposure duration as the primary influential factors. SlogP, representing the distribution coefficient of a molecule between lipophilic and hydrophilic environments, had a negative effect on the toxicity outcomes. Additionally, the exposure duration played a crucial role in determining the chronic toxicity. Finally, the chronic toxicity data of bisphenol A validated the robustness and reliability of the model established in this research. Our study provided a robust and feasible methodology for chronic ecological risk evaluation of various types of pollutants and could facilitate and increase the use of ML applications in environmental fields. © 2023 Elsevier Ltd</t>
  </si>
  <si>
    <t xml:space="preserve">Belaidi A.; Ayachi R.E.; Biniz M.; Oubezza M.; Youssefi Y.</t>
  </si>
  <si>
    <t xml:space="preserve">Early assessment of the persistence, bioaccumulation, and toxicity (PBT) of chemicals is a major challenge for environmental protection and international regulatory frameworks. The objective of this study is to compare the effectiveness of three graph-based deep learning architectures—a graph neural network (GNN), a message passing network (MPNN), and a graph attention network (GAT)—for the binary classification of molecules as PBT or non-PBT.We compiled a regulatory dataset comprising 5,130 molecules annotated from public sources, such as ECHA and international POP lists. Molecular graphs were generated from SMILES using RDKit. The three models were implemented in PyTorch Geometric with homogeneous hyperparameters. The experiments were conducted with a scaffold split ratio of 80/10/10 and 10-fold cross-validation. Performance was evaluated using accuracy, AUC-ROC, and F1-score. Interpretability was examined using GAT model attention maps and atomic contribution analysis. The MPNN model achieves the best overall performance (Accuracy = 0.92; ROC-AUC = 0.94; F1 = 0.91), followed by GAT (Accuracy = 0.89; ROC-AUC = 0.93). The basic GNN performs less well (Accuracy = 0.82; ROC-AUC = 0.89). The GAT model provides more detailed atomic explanations thanks to attention weights, while the MPNN stands out for its predictive accuracy. The dataset includes annotations from heterogeneous experimental sources, which may introduce noise into the labels. The models rely solely on 2D graphs, without 3D conformational information. MPNN models can accelerate PBT pre-screening and help prioritize substances for experimental testing. GATs provide useful interpretations for understanding the substructures associated with PBT properties. This study provides the first reproducible and systematic comparison of GNN, MPNN, and GAT models applied to a large regulatory dataset dedicated to PBT, analyzing both performance and interpretability. These results highlight the potential of graph-based QSAR models for regulatory PBT screening and environmental risk assessment. © 2026, Science and Information Organization. All rights reserved.</t>
  </si>
  <si>
    <t xml:space="preserve">Dey A.; Shrivastava J.N.</t>
  </si>
  <si>
    <t xml:space="preserve">A deep learning model enhanced with quantum transformer has been introduced in detection of adverse reactions of drugs within the reviews collected from social media written in English language. This proposed model enhanced the human language understanding for detecting adverse reactions of drug. Quantum transformers are used for position embedding and attention purpose. Variational quantum circuit encoded the human language and identify the relevant components of the input reviews as class feature vectors to develop a relationship network for each drug correspond to the condition and review comments on which probability distribution functions applied to detect ADRs found in a medicinal product or not. The correctness of advanced model architecture built on quantum transformer is quite encouraging, and it performs better than other cutting-edge learning models. Achieved an accuracy of 93% with a loss of 0.0393 with this proposed model. Though it is too early to declare that quantum computing has completely replaced. This proposed quantum enhanced transformer helps to show the direction towards quantum enhanced hybrid model design in research.  © 2024 IEEE.</t>
  </si>
  <si>
    <t xml:space="preserve">Havlíček V.; Córcoles A.D.; Temme K.; Harrow A.W.; Kandala A.; Chow J.M.; Gambetta J.M.</t>
  </si>
  <si>
    <t>2261</t>
  </si>
  <si>
    <t xml:space="preserve">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circuit1,2 to classify the data in a 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 © 2019, The Author(s), under exclusive licence to Springer Nature Limited.</t>
  </si>
  <si>
    <t xml:space="preserve">Pramanik S.; Jha A.K.</t>
  </si>
  <si>
    <t xml:space="preserve">Quantum Support Vector Machine (Quantum SVM) is a prominent algorithm in quantum machine learning. A key challenge in this field is the efficient mapping of classical data into a quantum feature space. Despite its significance, there is a lack of systematic studies identifying the most suitable feature map for remote sensing specfic classification tasks. This study bridges that gap by determining the optimal feature map for forest class identification, revealing the superior potential of the Pauli feature map in remote sensing data classification. By leveraging Pauli feature representations, Quantum SVMs enable more effective extraction of quantum-enhanced patterns from complex datasets, providing a robust framework for solving non-linear classification problems in quantum machine learning.  © 2025 IEEE.</t>
  </si>
  <si>
    <t xml:space="preserve">Tudisco A.; Volpe D.; Turvani G.</t>
  </si>
  <si>
    <t xml:space="preserve">Effective and accurate diagnosis of diseases such as cancer, diabetes, and heart failure is crucial for timely medical intervention and improving patient survival rates. Machine learning has revolutionized diagnostic methods in recent years by developing classification models that detect diseases based on selected features. However, these classification tasks are often highly imbalanced, limiting the performance of classical models. Quantum models offer a promising alternative, exploiting their ability to express complex patterns by operating in a higher-dimensional computational space through superposition and entanglement. These unique properties make quantum models potentially more effective in addressing the challenges of imbalanced datasets. This work evaluates the potential of quantum classifiers in healthcare, focusing on Quantum Neural Networks (QNNs) and Quantum Support Vector Machines (QSVMs), comparing them with popular classical models. The study is based on three well-known healthcare datasets - Prostate Cancer, Heart Failure, and Diabetes. The results indicate that QSVMs outperform QNNs across all datasets due to their susceptibility to overfitting. Furthermore, quantum models prove the ability to overcome classical models in scenarios with high dataset imbalance. Although preliminary, these findings highlight the potential of quantum models in healthcare classification tasks and lead the way for further research in this domain. © 2025 IEEE.</t>
  </si>
  <si>
    <t xml:space="preserve">Dutta S.S.; Sandeep S.; Sridevi S.; Sridhar M.R.; Singh C.</t>
  </si>
  <si>
    <t xml:space="preserve">The integration of classical machine learning with quantum computing has sparked a remarkable revolution, opening avenues to tackle previously insurmountable challenges in diverse fields, particularly in clinical applications. One such challenging task is to predict lung cancer with minimal clinical samples and features. The prominent objective of this proposed research is to introduce a novel Quantum Kernel Support Vector Machine (QKSVM) constructed with the Quantum Kernel Circuit (QKC) enriched with Quantum Approximation Optimization Algorithm (QAOA) embedding circuit to classify highly complex lung cancer using a minimal number of samples and minimal feature dimensions. In this context, to compare the classification performance of the transformative potential of the proposed QAOA embedding QKSVM classifier model, we implemented two other variants of the QKC leveraging Angle embedding (Angle Embedding QKSVM) and Instantaneous Quantum Polynomial embedding (IQP Embedding QKSVM). We also compared their performance with that of a classical SVM classifier. In this study, we delve into the transformative potential classification performance of the proposed QAOA Embedding-based QKSVM classifier, which is contrasted particularly in scenarios with limited sample size and feature dimensions. Our investigation reveals the quantum kernel's superiority, even when operating with smaller datasets. This remarkable performance is attributed to the quantum models' robustness in extracting intricate diagnosing features, enabling it to extract more pertinent insights from fewer data points. Notably, the QKSVM model trained with a significantly selected feature vector of 4-Dimensions (4D) with Principal Component Analysis (PCA) emerges as the frontrunner in lung cancer predictions, achieving an outstanding test accuracy of 94.64% and the highest area under curve (AUC) metric of 82.33%. © 2024 IEEE.</t>
  </si>
  <si>
    <t xml:space="preserve">Yu J.Y.; Sim W.S.; Jung J.Y.; Park S.H.; Kim H.S.; Park Y.R.</t>
  </si>
  <si>
    <t xml:space="preserve">Background: Quantum computing integrated with machine learning (ML) offers novel solutions in various fields, including healthcare. The synergy between quantum computing and ML in classification exploits unique data patterns. Despite theoretical advantages, the empirical application and effectiveness of quantum computing on small medical datasets remains underexplored. Method: This retrospective study from a tertiary hospital used data on early-onset colorectal cancer with 93 features and 1501 patients from 2008 to 2020 to predict mortality. We compared quantum support vector machine (QSVM) models with classical SVM models in terms of number of features, number of training sets, and outcome ratio. We evaluated the model based on the area under the curve in the receiver operating characteristic curve (AUROC). Results: We observed a mortality rate of 7.6 % (96 of 1253 subjects). We generated the mortality prediction model using 11 clinical variables, including cancer stage and chemotherapy history. We found that the AUROC difference between the conventional and quantum methods was the maximum for the top 11 variables. We also showed the AUROC in QSVM (mean [standard deviation], 0.863 [0.102]) outperformed all the number of trials in the conventional SVM (0.723 [0.231]). Compared to the conventional SVM, the QSVM showed robust performance, consistent with the AUROC, even in the unbalanced case. Conclusion: Our study highlights the potential of quantum computing to improve predictive modeling in healthcare, especially for rare diseases with limited available data. The advantages of quantum computing, such as the exploration of Hilbert space, contributed to the superior predictive performance compared to conventional methods. © 2024 The Authors</t>
  </si>
  <si>
    <t xml:space="preserve">Imanothai T.; Taetragool U.</t>
  </si>
  <si>
    <t xml:space="preserve">Today, machine learning plays significant roles in a wide range of businesses, industries, medical specialties, and academic disciplines. It can be applied with high accuracy to a variety of difficult problems. To improve performance, machine learning algorithms can now be combined with quantum computing. Our research focuses on a quantum support vector machine (QSVM) that combines the LS-SVM and HHL algorithms. The LS-SVM (Least-squares support-vector machines) algorithm is a classical binary classification algorithm that solves a set of linear equations to find the solution, whereas the HHL algorithm is a quantum algorithm that solves linear equations for LS-SVM. In this study, we expand the training data oracle to accommodate the larger training data size. Then, using Qiskit as a tool for creating HHL circuits, we examine the effect of different training kernel matrices on eigenvalues, quantum circuit size, and classifier accuracy. The experimental results reveal that increasing the amount of training data can improve accuracy. Moreover, the findings demonstrate that choosing different training data points from the same dataset can significantly affect the quantum circuit size and the classification accuracy. Using four training data points from the Iris dataset, for example, different sets of sampled training data, can yield 100% classification accuracy on testing dataset as the maximum and 12% accuracy as the minimum. Accuracy fluctuations may be caused by the error from the limited number of qubits used to represent eigenvalues in the HHL circuit. By increasing the number of training samples from two to four, the average classification accuracy of our QSVM improves from 6.3% to 50.1% for the iris dataset and from 48.2% to 63.9% for the OCR 6/9 dataset. © 2023 AIP Publishing LLC.</t>
  </si>
  <si>
    <t xml:space="preserve">Roosan D.; Ashakin M.R.; Khan R.; Khan H.M.; Khou T.; Carnasciali M.-I.; Haider M.R.</t>
  </si>
  <si>
    <t xml:space="preserve">The study explores the integration of quantum-enhanced feature mapping and optimization within Graph Neural Networks (GNNs) for molecular classification tasks. Utilizing IBM's Qiskit platform, we implement Variational Quantum Circuits (VQCs) to transform classical molecular features into quantum states, capturing complex correlations through quantum entanglement. Additionally, the Quantum Approximate Optimization Algorithm (QAOA) is employed for hyperparameter tuning to enhance model convergence and performance. Comparative analyses against traditional machine learning models demonstrate the superiority of the quantum-enhanced GNN, highlighting the potential of quantum computing in advancing molecular property prediction. © 2025 IEEE.</t>
  </si>
  <si>
    <t xml:space="preserve">Abdulsalam G.; Meshoul S.; Shaiba H.</t>
  </si>
  <si>
    <t>104</t>
  </si>
  <si>
    <t xml:space="preserve">Nowadays, quantum machine learning is attracting great interest in a wide range of fields due to its potential superior performance and capabilities. The massive increase in computational capacity and speed of quantum computers can lead to a quantum leap in the healthcare field. Heart disease seriously threatens human health since it is the leading cause of death worldwide. Quantum machine learning methods can propose effective solutions to predict heart disease and aid in early diagnosis. In this study, an ensemble machine learning model based on quantum machine learning classifiers is proposed to predict the risk of heart disease. The proposed model is a bagging ensemble learning model where a quantum support vector classifier was used as a base classifier. Furthermore, in order to make the model’s outcomes more explainable, the importance of every single feature in the prediction is computed and visualized using Shapley Additive exPlanations (SHAP) framework. In the experimental study, other standalone quantum classifiers, namely, Quantum Support Vector Classifier (QSVC), Quantum Neural Network (QNN), and Variational Quantum Classifier (VQC) are applied and compared with classical machine learning classifiers such as Support Vector Machine (SVM), and Artificial Neural Network (ANN). The experimental results on the Cleveland dataset reveal the superiority of QSVC compared to the others, which explains its use in the proposed bagging model. The Bagging- QSVC model outperforms all aforementioned classifiers with an accuracy of 90.16% while showing great competitiveness compared to some state-of-the-art models using the same dataset. The results of the study indicate that quantum machine learning classifiers perform better than classical machine learning classifiers in predicting heart disease. In addition, the study reveals that the bagging ensemble learning technique is effective in improving the prediction accuracy of quantum classifiers. © 2023, Tech Science Press. All rights reserved.</t>
  </si>
  <si>
    <t xml:space="preserve">Khattar S.; Kumawat H.; Aryan</t>
  </si>
  <si>
    <t xml:space="preserve">Predicting molecular properties is a cornerstone of drug discovery, materials science, and quantum chemistry, where accuracy and speed are critical. Classical machine learning mod- els offer rapid predictions but often fail to capture the intricate quantum interactions governing molecular behavior. Our team investigated quantum kernel methods to predict properties of the QM9 dataset, a widely recognized benchmark containing 134,000 organic molecules with diverse chemical structures. By encoding molecular features into quantum circuits, we mapped classical data into highdimensional Hilbert spaces to enhance prediction accuracy. Our pipeline encompasses data preprocessing, quantum circuit design, model training with support vector regression, and evaluation of ten key molecular properties. The quantum kernel approach delivered promising results, achieving mean absolute errors of 0.13 Debye for dipole moment and 0.08 eV for HOMOLUMO gap, even when executed on noisy quantum devices. This work provides a comprehensive, reproducible pipeline, benchmarks quantum and classical models, and discusses practical challenges, contributing significantly to the field of quantumenhanced computational chemistry.  © 2025 IEEE.</t>
  </si>
  <si>
    <t xml:space="preserve">Solanki P.D.; Pham A.</t>
  </si>
  <si>
    <t xml:space="preserve">In this paper, we explore the performance of the quantum-inspired Quantum Extreme Learning Machine (QELM) for molecular property prediction using regression. Specifically, we investigate how quantum-inspired techniques like Tensor Networks (TNs) such as the Time-Dependent Variational Principle (TDVP) with Matrix Product States (MPS) can be utilized for the QELM algorithm. We applied the QELM technique to predict activity (ACT) values based on molecular descriptors from the Merck Molecular Activity Challenge (MMACD) dataset. Overall, the results show that TNs can balance performance and accuracy in simulating quantum dynamics, allowing the simulation of datasets with a high number of features. This study underscores the potential of tensor networks as quantum-inspired algorithms to enhance the capability of quantum machine learning algorithms to study datasets with large numbers of features.  © 2025 IEEE.</t>
  </si>
  <si>
    <t xml:space="preserve">Afzal A.; Rana M.E.; Hameed V.A.; Safavi S.</t>
  </si>
  <si>
    <t xml:space="preserve">The remarkable expansion of e-commerce, together with its competitive market, has created difficulties for traditional machine learning models to forecast customer actions when dealing with intricate datasets. The encountered problems with conventional machine learning models in predictive analytics for customer behaviour in e-commerce have led researchers to explore quantum computing algorithms as a potential solution. The main goal of this research work is to analyse how quantum computing technology and quantum algorithms can address the problems of inaccuracy and high dimensionality and speed and unbalanced datasets. The system implementation integrates quantum infrastructure through quantum processing units that utilize parallel processing to handle large datasets efficiently. The proposed algorithms for customer behaviour prediction models include Quantum Support Vector Machines, Quantum K-means Clustering, Quantum Boltzmann Machines, Quantum Principal Component Analysis, Quantum Neural Networks, and Quantum Ensemble Learning. These algorithms use quantum parallelism to achieve better accuracy while speeding up computations and handling unbalanced datasets. The AI framework combines traditional machine learning pipeline with quantum computing enhancements to implement quantum algorithms. The framework consists of data pre-processing followed by Quantum Machine Learning (QML) model training and Quantum-Powered AI to address imbalanced data while reducing prediction biases. Real-time insights and visualization and analytics from the advance predictive analytics dashboard enable stakeholders to make data-driven decisions. The system implements security and privacy measures through quantum cryptography which uses quantum cryptographic algorithms to boost customer data security. The research results present a potential solution to predictive analytics challenges which would transform the E-commerce industry. © 2025 IEEE.</t>
  </si>
  <si>
    <t xml:space="preserve">Surya Prakash S.; Banu Priya P.; Someneni S.; Udendhran; Banerjee A.</t>
  </si>
  <si>
    <t xml:space="preserve">Drug discovery is a complex and time-consuming process that often relies on trial and error. Recent advancements in quantum computing and artificial intelligence (AI) have provided new tools to accelerate this process. In this project, we explore the application of the Variational Quantum Eigensolver (VQE) in conjunction with Graph Neural Networks (GNNs) for drug detection. The VQE algorithm is used to efficiently approximate the ground state energy of molecular systems, which is crucial for understanding molecular properties relevant to drug design. GNNs, on the other hand, are powerful AI models capable of learning complex relationships in graph-structured data, such as molecular structures. By combining these two technologies, we aim to improve the accuracy and efficiency of molecular property prediction compared to traditional methods. Our approach involves encoding molecular structures into graphs and using GNNs to extract meaningful features. These features are then fed into the VQE algorithm to predict molecular properties. We demonstrate the effectiveness of our approach on a dataset of molecular structures with known properties. Our results show that the VQE-GNN model outperforms traditional methods in terms of both accuracy and speed, highlighting the possibility of quantum computing and AI in revolutionizing drug discovery. © The Author(s), under exclusive license to Springer Nature Singapore Pte Ltd. 2025.</t>
  </si>
  <si>
    <t xml:space="preserve">Bagoun Y.; Zinedine A.; Berrada I.</t>
  </si>
  <si>
    <t xml:space="preserve">Recent years have witnessed a captivating convergence between quantum physics and machine learning, promising an unprecedented leap in computational capabilities to tackle intricate problems. This study immerses itself in the world of quantum-inspired machine learning algorithms, meticulously comparing two innovative approaches: The Variational Quantum Classifier (VQC) and the Pegasos Quantum Support Vector Classifier (QSVC). Focused on autism research, this exploration delves into these algorithms' ability to decipher complex patterns within the data. The Variational Quantum Classifier (VQC) creatively employs quantum variational circuits, transforming input data into quantum states, offering a unique perspective on feature representation. Conversely, the Pegasos QSVC optimizes support vector machines efficiently, leveraging the principles of quantum computing. Through thorough experimentation and thoughtful analysis, this study assesses the algorithms' effectiveness in discerning autism from non-Autism cases, considering aspects like accuracy, computational efficiency, and scalability. The outcomes of this comparative analysis illuminate the strengths and limitations inherent in both algorithms within the realm of autism classification. Moreover, the study delves into the profound implications of quantum computing in healthcare, underscoring its potential for revolutionary advancements in comprehending and diagnosing complex neurological disorders. This research not only enriches the expanding knowledge at the crossroads of quantum physics and machine learning but also charts a course for future investigations into the realm of quantum-enhanced healthcare applications. © 2024 IEEE.</t>
  </si>
  <si>
    <t xml:space="preserve">Mukhopadhyay N.; Kundu K.; Prakash A.; Saha M.K.</t>
  </si>
  <si>
    <t xml:space="preserve">Support Vector Machine (SVM) is widely used for classification tasks in machine learning, but it struggles with high-dimensional data, scalability, and computational inefficiencies, particularly in cloud environments with large-scale virtualized workloads. Quantum computing provides a solution by enhancing computational efficiency and offering richer feature representation through quantum kernels. They uses high-dimensional Hilbert spaces, enabling more effective pattern capture and reduced training overhead compared to classical kernels. This paper introduces QKiSVM, a novel Quantum Kernel-infused Support Vector Machine algorithm that incorporates quantum principles to improve classical SVMs. The framework integrates Quantum Amplitude Encoding, Quantum Kernel Functions, Quantum Inner Product estimation, and optimizes the model using Quantum Gradient Descent and Quantum-Assisted Hyperparameter Tuning. Theoretical foundation of QKiSVM is established by proving two theorems that demonstrate its optimality in terms of convergence and classification performance. We implement QKiSVM for the classification of anomalous Virtual Machines (VMs) in public cloud environments. For validation, we conduct a comprehensive performance evaluation, comparing QKiSVM with PSO-SVM and QSVM using key metrics such as accuracy, precision, recall, F1-score, training time, resource utilization, computational cost, and hyperparameter tuning time. Experimental results show that QKiSVM consistently outperforms existing approaches, demonstrating superior accuracy and efficiency in both classification and resource optimization. © The Author(s), under exclusive licence to Springer Nature Singapore Pte Ltd. 2026.</t>
  </si>
  <si>
    <t xml:space="preserve">Lo Monaco G.; Bertini M.; Lorenzo S.; Massimo Palma G.</t>
  </si>
  <si>
    <t xml:space="preserve">Quantum machine learning algorithms are expected to play a pivotal role in quantum chemistry simulations in the immediate future. One such key application is the training of a quantum neural network to learn the potential energy surface and force field of molecular systems. We address this task by using the quantum extreme learning machine paradigm. This particular supervised learning routine allows for resource-efficient training, consisting of a simple linear regression performed on a classical computer. We have tested a setup that can be used to study molecules of any dimension and is optimized for immediate use on NISQ devices with a limited number of native gates. We have applied this setup to three case studies: lithium hydride, water, and formamide, carrying out both noiseless simulations and actual implementation on IBM quantum hardware. Compared to other supervised learning routines, the proposed setup requires minimal quantum resources, making it feasible for direct implementation on quantum platforms, while still achieving a high level of predictive accuracy compared to simulations. Our encouraging results pave the way towards the future application to more complex molecules, being the proposed setup scalable. © 2024 The Author(s). Published by IOP Publishing Ltd.</t>
  </si>
  <si>
    <t xml:space="preserve">Zhang T.; Li K.; Fu Y.; Xue F.</t>
  </si>
  <si>
    <t xml:space="preserve">Classification is a fundamental task in machine learning that aims to categorize input samples into predefined classes based on their features. It has widespread applications in areas such as spam detection and image classification. Support Vector Machines (SVM) are a widely-used supervised learning method that seeks to maximize the margin between decision boundaries, particularly excelling in non-linear classification tasks through kernel functions. In this study, the SVM classification problem is reformulated as an optimization problem and represented using Quadratic Unconstrained Binary Optimization (QUBO) to leverage quantum computing for solving. To enhance the solution process, the simulated annealing algorithm is employed, improving convergence speed and boosting both the efficiency and performance of the classification task.  © COPYRIGHT SPIE.</t>
  </si>
  <si>
    <t xml:space="preserve">Chy A.M.R.; Shahriyar M.F.</t>
  </si>
  <si>
    <t xml:space="preserve">Quantum machine learning has emerged as a promising paradigm that leverages quantum computational principles to potentially outperform classical approaches on specific learning tasks. This paper presents a comprehensive empirical investigation comparing Quantum Machine Learning (QML), specifically Quantum Support Vector Machines (QSVM) against Classical Machine Learning (CML) baselines including Logistic Regression, K Nearest Neighbors and classical SVMs. We implement quantum kernel methods using variational quantum circuits with angle embedding, IQP and ZZ feature maps on datasets exhibiting varying structural complexity. Our experiments on synthetic quantum generated datasets (Quantum Parity, Quantum Entanglement, Quantum Interference) demonstrate that QSVM achieves superior classification accuracy with improvements ranging from 2.9% to 60% over the best classical baselines achieving a 55.6% overall win rate. Notably, on the Quantum Parity dataset, QSVM consistently outperformed all classical models across multiple configurations. On real-world benchmark datasets (Breast Cancer, Iris, Wine), QSVM Angle achieved 88% accuracy on Breast Cancer compared to 76% for classical SVM Linear a 15.8% relative improvement while matching the best classical performance on Iris (100%) and Wine (92%). All experiments were conducted using quantum circuit simulation on classical hardware. These results provide empirical evidence that quantum kernel methods offer meaningful advantages over classical approaches on datasets with complex feature interactions. We discuss the theoretical foundations of these improvements including quantum feature space expressivity and kernel alignment. © 2026 IEEE.</t>
  </si>
  <si>
    <t xml:space="preserve">Hussana Johar R.B.; Vedika D.K.; Niveditha K.; Akil U.; Darshan T.V.</t>
  </si>
  <si>
    <t xml:space="preserve">Timely clinical intervention at the early stage for detecting widespread psychological health issues such as depression and anxiety is essential. Conventional diagnostic approaches that are generally based on subjective questionnaires face limitations which can result in delays as well as imprecisions. Current data-driven methodologies employ features that are extracted from multiple sources (behavioural surveys, clinical attributes and physiological signals excluding EEG and ECG). Although known classical ML models such as RF and LR are effective, the limitations of these models on capturing extremely complex non-linear issues result in their performance being limited. This performance upper bound is validated by the combined classical benchmark accuracy of 86.59%. This paper introduces a new quantum hybrid support vector machine (QSVM) framework, and shows how it can dramatically improve prediction accuracy on such mental health conditions. The system uses a hybrid design, in which the classical processing part computes and sends out a processed feature map to be quantum mapped into a Q exponentially larger-dimensional Hilbert space through quantum kernel methods (Quantum Feature Maps). By taking advantage of the quantum effects, the QSVM implicitly computes kernels that are difficult for classical machines and allows achieving better classification boundaries. The accuracy of QSVM is critically evaluated against the RF and LR benchmarks. Thus The Hybrid QSVM shows preliminary signs of quantum advantage, particularly in precision and kernel separability, although accuracy remains comparable to classical baselines. Validation on real quantum hardware will be required to establish practical quantum advantage. © 2026 IEEE.</t>
  </si>
  <si>
    <t xml:space="preserve">Lourenço M.P.; Zadeh-Haghighi H.; Hostaš J.; Naseri M.; Gaur D.; Simon C.; Salahub D.R.</t>
  </si>
  <si>
    <t xml:space="preserve">The meeting of artificial intelligence (AI) and quantum computing is already a reality; quantum machine learning (QML) promises the design of better regression models. In this work, we extend our previous studies of materials discovery using classical active learning (AL), which showed remarkable economy of data, to explore the use of quantum algorithms within the AL framework (QAL) as implemented in the MLChem4D and QMLMaterial codes. The proposed QAL uses quantum support vector regressor (QSVR) or a quantum Gaussian process regressor (QGPR) with various quantum kernels and different feature maps. Data sets include perovskite properties (piezoelectric coefficient, band gap, energy storage) and the structure optimization – by density functional theory – of a doped nanoparticle (3Al@Si11) chosen to compare with classical AL results. Our results revealed that the QAL method improved the searches in most cases, but not all, seemingly correlated with the “roughness” of the data. QAL has the potential of finding optimum solutions, within chemical space, in materials science and elsewhere in chemistry. Finally, we have termed the integration of quantum chemistry with QML the “QQ method”: Quantum for building the potential energy surface and Quantum for new inferences and discoveries with small data using quantum algorithms. This journal is © the Owner Societies, 2026</t>
  </si>
  <si>
    <t xml:space="preserve">Stühler H.; Pranjić D.; Tutschku C.</t>
  </si>
  <si>
    <t xml:space="preserve">Support vector machines are powerful and frequently used machine learning methods for classification and regression tasks, which rely on the construction of kernel matrices. While crucial for the performance of this machine learning approach, choosing the most suitable kernel is highly problem-dependent. The emergence of quantum computers and quantum machine learning techniques provides new possibilities for generating powerful quantum kernels. Within this work, we solve a real-world price forecasting problem using fidelity and projected quantum kernels, which are promising candidates for the utility of near-term quantum computing. In our analysis, we examine and validate the most auspicious quantum kernels from literature and compare their performance with an optimized classical kernel. Unlike previous work on quantum support vector machines, our dataset includes categorical features that need to be encoded as numerical features, which we realize by using the one-hot-encoding scheme. One-hot-encoding, however, increases the dimensionality of the dataset significantly, which collides with the current limitations of noisy intermediate scale quantum computers. To overcome these limitations, we use autoencoders to learn a low-dimensional representation of the feature space that still maintains the most important information of the original data. To examine the impact of autoencoding, we compare the results of the encoded date with the results of the original, unencoded dataset. We could demonstrate that quantum kernels are comparable to or even better than the classical support vector machine kernels regarding the mean absolute percentage error scores for both encoded and unencoded datasets. © 2024 by SCITEPRESS - Science and Technology Publications, Lda.</t>
  </si>
  <si>
    <t xml:space="preserve">Srikumar M.; Hill C.D.; Hollenberg L.C.L.</t>
  </si>
  <si>
    <t xml:space="preserve">The emergence of quantum machine learning (QML) to enhance traditional classical learning methods has seen various limitations to its realisation. There is therefore an imperative to develop quantum models with unique model hypotheses to attain expressional and computational advantage. In this work, we extend the linear quantum support vector machine (QSVM) with kernel function computed through quantum kernel estimation (QKE), to form a decision tree classifier constructed from a decision-directed acyclic graph of QSVM nodes—the ensemble of which we term the quantum random forest (QRF). To limit overfitting, we further extend the model to employ a low-rank Nyström approximation to the kernel matrix. We provide generalisation error bounds on the model and theoretical guarantees to limit errors due to finite sampling on the Nyström-QKE strategy. In doing so, we show that we can achieve lower sampling complexity when compared to QKE. We numerically illustrate the effect of varying model hyperparameters and finally demonstrate that the QRF is able to obtain superior performance over QSVMs, while also requiring fewer kernel estimations. © The Author(s), under exclusive licence to Springer Nature Switzerland AG 2024.</t>
  </si>
  <si>
    <t xml:space="preserve">Choi J.; Yu C.; Jung K.L.; Foo S.-S.; Chen W.; Comhair S.A.A.; Jehi L.; Jung J.U.</t>
  </si>
  <si>
    <t xml:space="preserve">Background and Objective Identifying key biomarkers from multi-omics data is essential for advancing COVID-19 diagnosis and understanding disease mechanisms. Quantum machine learning approaches, particularly the quantum support vector machine, offer potential for biomarker analysis. This study aimed to assess the applicability of the quantum support vector machine for biomarker evaluation under a performance-based feature importance framework. Methods Proteomic and metabolomic biomarker data from two independent cohorts (Cleveland Clinic and Swedish Medical Center) were analyzed. Biomarkers were ranked using ridge regression and grouped into higher- and lower-importance sets. These groups were used to compare classification performance between the classical support vector machine and the quantum support vector machine. Multiple quantum kernels were examined, including amplitude encoding, angle encoding, the ZZ feature map, and the projected quantum kernel. Results Across diverse experimental conditions, the quantum support vector machine achieved classification performance comparable to, and in some settings slightly higher than, that of the classical support vector machine. Moreover, the quantum support vector machine performance consistently aligned with biomarker importance rankings derived from ridge regression. Conclusions Within a performance-based feature importance framework, these results highlight the quantum support vector machine as a promising approach for multi-omics data analysis in biomedical research. The findings suggest that the quantum support vector machine can support biomarker importance evaluation in complex diseases such as COVID-19 through model performance–driven analysis. © 2026 Elsevier B.V.</t>
  </si>
  <si>
    <t xml:space="preserve">von Lilienfeld O.A.</t>
  </si>
  <si>
    <t>203</t>
  </si>
  <si>
    <t xml:space="preserve">Rather than numerically solving the computationally demanding equations of quantum or statistical mechanics, machine learning methods can infer approximate solutions, interpolating previously acquired property data sets of molecules and materials. The case is made for quantum machine learning: An inductive molecular modeling approach which can be applied to quantum chemistry problems. © 2018 Wiley-VCH Verlag GmbH &amp; Co. KGaA, Weinheim</t>
  </si>
  <si>
    <t xml:space="preserve">Sharma P.; Kumar S.S.; Fallah M.; Shaik A.S.; Yuvaraj K.; Sandeep Kumar S.; Galieva M.R.</t>
  </si>
  <si>
    <t xml:space="preserve">The contemporary manufacturing landscape is more complicated, data-heavy and more automated than ever before, producing enormous volumes of multi-modal sensor data, production logs and maintenance records. Predictive analytics within these environments becomes essential to achieve operational efficiency, reduce downtime, and optimise resource allocation; however, many classical machine learning methods struggle with high-dimensional, nonlinear, and dynamic data, resulting in suboptimal predictions and slow decision-making. To overcome these issues, the proposed research suggests a Quantum-Enhanced AI (QAI) system combining various quantum algorithms: Quantum Neural Networks (Quantum Neural Network) to recognize patterns, Quantum Supporter Vector Machines (Quantum Supporter Vector Machines) to classify, Quantum Approximate Optimization Algorithm (Quantum Approximate Optimization Algorithm) to schedule production and allocate resources, and Variational Quantum Eigensolver (Variational Quantum Eigensolver) to optimize parameters under noisy settings or conditions into a hybrid quantum-class The framework is a quantum computer based framework that encodes classical manufacturing data in the form of quantum states, using amplitude and qubit-efficient embeddings, allowing representation of high-dimensional features with the parallelism and entanglement of quantum computing. Realworld experimental validation of both turbofan engine degradation and semiconductor manufacturing sensor logs was conducted using IBM Qiskit and PennyLane to ensure reproducibility, with noise-aware training and error mitigation policies applied in simulations on NISQ-era hardware. The proposed QAI framework demonstrated higher predictive accuracy (12 to 15) than state-of-the-art hybrid quantum-classical and classical models, with superior accuracy, memorability, and F1 scores, and showed exceptional capabilities in anomaly detection, failure prediction, and optimisation. The results validate that quantum algorithms can be integrated into a predictive analytics pipeline to overcome classical computation bottlenecks, enhance robustness, and provide actionable insights for making real-time manufacturing decisions. Overall, this paper has demonstrated that quantum-assisted AI can be beneficial in intelligent manufacturing environments, laying the groundwork for expanding practical applications that bridge the gap between the promises of quantum computational power and predictive analytics in the industry. © 2025 IEEE.</t>
  </si>
  <si>
    <t xml:space="preserve">Heredge J.; Hill C.; Hollenberg L.; Sevior M.</t>
  </si>
  <si>
    <t xml:space="preserve">Quantum computers have the potential to speed up certain computational tasks. A possibility this opens up within the field of machine learning is the use of quantum techniques that may be inefficient to simulate classically but could provide superior performance in some tasks. Machine learning algorithms are ubiquitous in particle physics and as advances are made in quantum machine learning technology there may be a similar adoption of these quantum techniques. In this work a quantum support vector machine (QSVM) is implemented for signal-background classification. We investigate the effect of different quantum encoding circuits, the process that transforms classical data into a quantum state, on the final classification performance. We show an encoding approach that achieves an average Area Under Receiver Operating Characteristic Curve (AUC) of 0.848 determined using quantum circuit simulations. For this same dataset the best classical method tested, a classical Support Vector Machine (SVM) using the Radial Basis Function (RBF) Kernel achieved an AUC of 0.793. Using a reduced version of the dataset we then ran the algorithm on the IBM Quantum ibmq_casablanca device achieving an average AUC of 0.703. As further improvements to the error rates and availability of quantum computers materialise, they could form a new approach for data analysis in high energy physics. © 2021, The Author(s).</t>
  </si>
  <si>
    <t xml:space="preserve">Saad A.M.; Rahman K.E.; Shahriyar M.F.; Gulora Y.; Hossain H.M.</t>
  </si>
  <si>
    <t xml:space="preserve">Quantum machine learning, which depends on multi-qubit systems, plays a central role in advancing quantum computing capabilities. This study evaluates the effectiveness of Quantum Support Vector Machines (QSVMs) within the constraints of Noisy Intermediate-Scale Quantum (NISQ) devices, accounting for real-world technical challenges. Unlike classical SVMs that utilize radial basis function kernels, QSVMs employ quantum feature mapping to transform data into quantum states for kernel matrix construction. When applied to intricate or conceptually unique datasets, QSVMs show advantages over conventional SVMs, which often struggle with class separation due to limitations in classical kernel design. The method exhibits consistent performance across data types, especially in cases where clear decision boundaries minimize model overfitting. By implementing straightforward unitary transformations, quantum feature maps generate tunable kernels that optimize hyperplane configurations through regularization. Comparative analyses reveal QSVMs outperform classical counterparts in managing complex data patterns and achieving higher accuracy on benchmark datasets. The research underscores how quantum kernel techniques could resolve dimensional scalability issues in classical machine learning while distinguishing between datasets that appear identical in classical frameworks but exhibit quantum-level differences. © The Author(s), under exclusive license to Springer Nature Switzerland AG 2026.</t>
  </si>
  <si>
    <t xml:space="preserve">Bavisetti N.; Babu M.S.; Sumalatha M.; Anoosha S.; Ratnagiri D.; Sravani B.D.</t>
  </si>
  <si>
    <t xml:space="preserve">Early identification of lung cancer is crucial for enhancing patient survival rates and minimizing treatment complexity. Traditional machine learning techniques, such as Support Vector Machines (SVM), frequently encounter difficulties in managing the high dimensionality and intricate feature patterns present in medical imaging data. This research presents an innovative Quantum Machine Learning (QML) framework for predicting lung cancer and assesses its efficacy relative to a standard SVM method. The proposed system uses the publically accessible Kaggle Lung Cancer Patient Dataset, which comprises pertinent biochemical and demographic information for liver disease diagnosis. Essential characteristics are derived from the dataset and stored into quantum states using sophisticated quantum feature mapping. A Quantum Support Vector Machine (QSVM) classifier is then trained to differentiate between patients with liver disease and those without. Our findings indicate that quantum-enhanced classifiers can provide resilient, scalable, and highly accurate systems for liver disease detection, marking a significant advancement in the integration of quantum computing into real healthcare applications. © 2025 IEEE.</t>
  </si>
  <si>
    <t xml:space="preserve">Manushree C.N.; Putluru H.D.; Khajuria H.; Singh C.; Nayak B.P.</t>
  </si>
  <si>
    <t xml:space="preserve">Quantum algorithms for predictive analytics is important across various sectors such as finance, healthcare, marketing and supply chain management where accurate predictions can be used to optimise operations and decision-making processes. This chapter addresses Specific quantum machine learning algorithms such as Quantum Support Vector Machines (QSVM), Quantum K-nearest Neighbors (QKNN) and Quantum Neural Networks (QNN). These algorithms enhance classification, regression and complex predictive tasks by accelerating training processes and managing large feature spaces effectively. And, to this, quantum optimization algorithms like Quantum Approximate Optimization Algorithm (QAOA) and Variational Quantum Eigensolver (VQE) are mentioned for their role in optimising model parameters and improving prediction accuracy. In addition, it discusses quantum data encoding methods, such as Quantum Fourier Transform (QFT) and amplitude encoding. Along with this, it acknowledges significant challenges such as hardware limitations, algorithmic complexity and practical integration issues. © 2025, IGI Global Scientific Publishing. All rights reserved.</t>
  </si>
  <si>
    <t xml:space="preserve">Darwish S.M.; Shendi T.A.; Younes A.</t>
  </si>
  <si>
    <t xml:space="preserve">Chemometrics, the application of mathematical and statistical methods to the analysis of chemical data, is finding ever widening applications in the chemical process environment. The reliable prediction of toxic effects of chemicals in living systems is highly desirable in domains such as cosmetics, drug discovery, food safety, and the manufacturing of chemical compounds. Toxicity prediction requires several new approaches for knowledge discovery from data to paradigm composite associations between the modules of the chemical compound; the computational demands of such techniques increase greatly with the number of chemical compounds involved. State-of-the-art prediction methods such as neural networks and multi-layer regression require either tuning parameters or complex transformations of predictor or outcome variables and do not achieve highly accurate results. This paper proposes a Quantum Inspired Genetic Programming “QIGP” model to improve prediction accuracy. Genetic Programming is utilized to give a linear equation for calculating the degree of toxicity more accurately. Quantum computing is employed to improve the selection of the best-of-run individuals and handles parsimony pressure to reduce the complexity of solutions. The results of the internal validation analysis indicated that the QIGP model has better goodness of fit statistics then, and significantly outperforms, the Neural Network model. © 2019 Elsevier B.V.</t>
  </si>
  <si>
    <t xml:space="preserve">Rao K.V.; Rao K.; Sitaratnam G.</t>
  </si>
  <si>
    <t xml:space="preserve">Classical computational approaches are steadily improving in their ability to predict molecular properties based on their sequences or structure, which is essential in drug discovery, irrespective of its many challenges. The major challenge is to use computational approaches to identify the properties, such as toxicity, solubility, etc. (ADMET), of the drug targets without costing much time. Machine learning and deep learning methods are employed for predicting ADMET properties. The proposed approach combines quantum computing with machine learning for the binary task of toxicity prediction based on the SMILES data. This Quantum Machine Learning (QML) approach involves a novel five-step procedure that converts SMILES to their respective molecular fingerprints, which are in turn dimensionally reduced, consequently forming four qubits. These qubits are inputs to the QML models, such as the Quantum SVC (QSVC), Variational Quantum Circuits (VQC), and Quantum AutoEncoders (QAE). The models are trained and optimized by using different optimizers and then evaluated based on the accuracy metric. The QAE model outperformed the remaining model by achieving an accuracy of 99%. © Little Lion Scientific</t>
  </si>
  <si>
    <t xml:space="preserve">Wang X.; Wang L.; Wang S.; Ren Y.; Chen W.; Li X.; Han P.; Song T.</t>
  </si>
  <si>
    <t xml:space="preserve">Molecular toxicity prediction plays an important role in drug discovery, which is directly related to human health and drug fate. Accurately determining the toxicity of molecules can help weed out low-quality molecules in the early stage of drug discovery process and avoid depletion later in the drug development process. Nowadays, more and more researchers are starting to use machine learning methods to predict the toxicity of molecules, but these models do not fully exploit the 3D information of molecules. Quantum chemical information, which provides stereo structural information of molecules, can influence their toxicity. To this end, we propose QuantumTox, the first application of quantum chemistry in the field of drug molecule toxicity prediction compared to existing work. We extract the quantum chemical information of molecules as their 3D features. In the downstream prediction phase, we use Gradient Boosting Decision Tree and Bagging ensemble learning methods together to improve the accuracy and generalization of the model. A series of experiments on various tasks show that our model consistently outperforms the baseline model and that the model still performs well on small datasets of less than 300. © 2023 Elsevier Ltd</t>
  </si>
  <si>
    <t xml:space="preserve">Yang Z.; Wang L.; Huang T.; Wang Y.; Gao M.; Hou T.; Ding J.; Xiao J.</t>
  </si>
  <si>
    <t xml:space="preserve">Recently, various self-supervised learning (SSL) methods based on 3D graph neural networks (GNNs) have been developed to comprehensively represent the structural information of molecules in 3D space; this is essential for discovering new drugs. However, existing methods fail to comprehensively characterize the 3D structures of molecules and neglect the electronic structural information that significantly influences key properties such as molecular reactivity, strong electrostatic interactions, and chemical adsorption. Therefore, here, a novel molecular representation learning method is constructed, Q-GEM, incorporating quantum and geometric structural information enhancement, based on the quantum chemical property database QuanDB and SSL methods. Q-GEM comprises a GNN embedded with the molecular electronic and complete 3D geometrical structural information as well as several well-designed multiscale SSL tasks, achieving superior absolute molecular conformation prediction and conformational discrimination. The Q-GEM achieved state-of-the-art performance in 12 out of 13 prediction tasks on the MoleculeNet dataset, with an average performance improvement of 3.3% and 2.0% for classification and regression prediction tasks, respectively. Moreover, an average performance improvement of 5.2% is achieved in three localized quantum chemical properties, fully demonstrating the excellent performance of Q-GEM in distinguishing molecular electronic structures. The Q-GEM represents a novel, powerful breakthrough for accurate molecular property prediction. © 2025 The Author(s). Advanced Science published by Wiley-VCH GmbH.</t>
  </si>
  <si>
    <t xml:space="preserve">Kettani M.; Rguig A.; Abbou F.M.; Abdi F.; Bouanane L.; Bouhadda M.</t>
  </si>
  <si>
    <t xml:space="preserve">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F1-scores, suggesting less consistent performance. These findings suggest that quantum models, especially VQC and QSVM, offer a promising advantage in neuroimaging-based mental health diagnostics. ©2025 IEEE.</t>
  </si>
  <si>
    <t xml:space="preserve">Iype E.; Urolagin S.</t>
  </si>
  <si>
    <t xml:space="preserve">Predicting molecular properties using a Machine Learning (ML) method is gaining interest among research as it offers quantum chemical accuracy at molecular mechanics speed. This prediction is performed by training an ML model using a set of reference data [mostly Density Functional Theory (DFT)] and then using it to predict properties. In this work, kernel based ML models are trained (using Bag of Bonds as well as many body tensor representation) against datasets containing non-equilibrium structures of six molecules (water, methane, ethane, propane, butane, and pentane) to predict their atomization energies and to perform a Metropolis Monte Carlo (MMC) run with simulated annealing to optimize molecular structures. The optimized structures and energies of the molecules are found to be comparable with DFT optimized structures, energies, and forces. Thus, this method offers the possibility to use a trained ML model to perform a classical simulation such as MMC without using any force field, thereby improving the accuracy of the simulation at low computational cost. © 2019 Author(s).</t>
  </si>
  <si>
    <t xml:space="preserve">Tripathi R.; Pandey R.S.</t>
  </si>
  <si>
    <t xml:space="preserve">The quantum support vector machines (QSVMs) offer a paradigm change that may leverage quantum mechanical processes to outperform traditional support vector machines (SVMs) in high-dimensional and nonlinear classification tasks. These machines are located at the crossroads of supervised machine learning and quantum computing. The purpose of this chapter is to provide a comprehensive technical analysis of QSVMs, with a particular emphasis on the use of variation quantum circuits for implicit feature space transformations and the development of these circuits within the context of quantum kernel estimation. Through the use of quantum state preparation and interference, we provide a comprehensive explanation of the possible fabrication of quantum kernels that are based on inner product evaluations in exponentially huge Hilbert spaces. When it comes to boosting model expressivity beyond classical limits, the importance that entanglement and quantum feature mapping play is specifically stressed. In addition to this, we investigate algorithmic implementations on noisy intermediate-scale quantum (NISQ) hardware, focusing on problems associated with quantum decoherence, gate fidelity, and loop depth optimization. Several fields, including quantum-enhanced drug discovery, anomaly detection in quantum sensor networks, fault classification in quantum error correction, and portfolio optimization, are now the focus of research that is being conducted in order to develop real-world applications. This chapter comes to a close with an analysis of the existing theoretical limits, resource needs, and future perspectives for the use of QSVMs in machine learning applications in order to achieve a quantum advantage. In order to facilitate the development of scalable quantum machine learning models that are founded on strong mathematical and computational notions, this synthesis is geared at academics and practitioners. © 2027 Jaiprakash Narain Dwivedi, Parag Shukla, Herat Joshi and Pankaj Tripathi.</t>
  </si>
  <si>
    <t xml:space="preserve">Jha R.K.; Kasabov N.; Coyle D.; Bhattacharyya S.; Prasad G.</t>
  </si>
  <si>
    <t xml:space="preserve">Quantum machine learning (QML) has gained significant attention recently for exploring the quantum computing applications. In this work, we delve into QML applications using the quantum support vector classifier (QSVC). QSVC uses quantum feature maps to create quantum-enhanced kernels. These kernels have the potential to provide a quantum advantage over classical machine learning (ML) algorithms in data classification. In this study, we introduced a novel quantum feature map and analyzed its role in developing a quantum-enhanced classifier, thereby expanding the applications of QML. Additionally, the study explored the importance of hyperparameter tuning for achieving quantum enhancement. To demonstrate proof of concept, we analyzed motor imagery electroencephalogram (EEG) datasets using the quantum kernel. We compared the results from our novel quantum feature map with outcomes from state-of-the-art feature maps. Additionally, we assessed the performance of quantum kernels in comparison with classical kernels and other ML classifiers. Finally, the study demonstrates the analytical advantages of the proposed quantum feature map over state-of-the-art feature maps and various classical classifiers through classification accuracy. © The Author(s), under exclusive license to Springer Nature Singapore Pte Ltd. 2025.</t>
  </si>
  <si>
    <t xml:space="preserve">Atz K.; Isert C.; Böcker M.N.A.; Jiménez-Luna J.; Schneider G.</t>
  </si>
  <si>
    <t>55</t>
  </si>
  <si>
    <t xml:space="preserve">Many molecular design tasks benefit from fast and accurate calculations of quantum-mechanical (QM) properties. However, the computational cost of QM methods applied to drug-like molecules currently renders large-scale applications of quantum chemistry challenging. Aiming to mitigate this problem, we developed DelFTa, an open-source toolbox for the prediction of electronic properties of drug-like molecules at the density functional (DFT) level of theory, using Δ-machine-learning. Δ-Learning corrects the prediction error (Δ) of a fast but inaccurate property calculation. DelFTa employs state-of-the-art three-dimensional message-passing neural networks trained on a large dataset of QM properties. It provides access to a wide array of quantum observables on the molecular, atomic and bond levels by predicting approximations to DFT values from a low-cost semiempirical baseline. Δ-Learning outperformed its direct-learning counterpart for most of the considered QM endpoints. The results suggest that predictions for non-covalent intra- and intermolecular interactions can be extrapolated to larger biomolecular systems. The software is fully open-sourced and features documented command-line and Python APIs. © 2022 The Royal Society of Chemistry.</t>
  </si>
  <si>
    <t xml:space="preserve">Jenolin J.; Narmadha D.; Naveen Sundar G.</t>
  </si>
  <si>
    <t xml:space="preserve">Subtyping of lung cancer is crucial for individualized treatment and optimizing outcomes. Computational modeling allows data analysis over large scales, which helps in making precision classification in large datasets or high-dimensional datasets. Conventional machine learning methods perform well, but integration of multi-omic data (DNA, RNA, miRNA) is challenging in cancer subtyping because of high dimensionality and complex inter-omic relationships. To bypass this Quantum machine learning (QML) provides better ability to navigate high-dimensional biological data with many variables using quantum computational concepts that can identify fine patterns or small-scale patterns beyond the capability of classical approaches. Through the integration of quantum computing principles with the machine learning framework, the study highlights the improvement of computer technology. The framework shows how the system is optimized with the help of quantum principles, how it can improve accuracy, parallel processing and reducing latency. In this work, we have combined data on miRNA, RNA expression, and DNA methylation to create a complete workflow for classifying cancer. This method uses a wide variety of feature selection techniques, such as random forest-based selection, chi-square, mutual information(MI), and principal component analysis(PCA).In order to illustrate the notion of quantum advantage, we carefully compare the performance metrics of the Quantum Support Vector Classifier (QSVC) to the classical Support Vector Machine (SVM), using a ZZ feature map quantum kernel as our baseline for analysis. Using five-fold crossvalidation, we have also verified that the quantum has an advantage with consistently lower variance and higher accuracy. © 2025 IEEE.</t>
  </si>
  <si>
    <t xml:space="preserve">Mafu M.; Senekane M.</t>
  </si>
  <si>
    <t xml:space="preserve">Machine Learning (ML) is arguably the most ad-vanced sub-field of Artificial Intelligence (AI). It concerns the study of computer algorithms that can improve automatically by learning from data (experience) without being explicitly pre-programmed. On the other hand, the quantum version of ML, Quantum Machine Learning (QML), forms one of the most crucial and recent quantum computing applications. It uses quantum mechanical principles such as superposition, interference, and tunneling to enable quantum computers to learn from data. Some examples of QML algorithms include Quantum Principal Component Analysis (QPCA) and Quantum Support Vector Machine (QSVM). The QSVM is a robust supervised machine learning algorithm used for classification and regression. Therefore, this paper discusses the design and implementation of an efficient QSVM model. The model's efficiency is achieved using Principal Component Analysis (PCA) on the classical data, then loading the classical data into a quantum computer. Experimental results demonstrate the significance and application of the QSVM model reported in this paper. © 2021 IEEE.</t>
  </si>
  <si>
    <t xml:space="preserve">Zhao C.Y.; Zhang H.X.; Zhang X.Y.; Liu M.C.; Hu Z.D.; Fan B.T.</t>
  </si>
  <si>
    <t>165</t>
  </si>
  <si>
    <t xml:space="preserve">As a new method, support vector machine (SVM) were applied for prediction of toxicity of different data sets compared with other two common methods, multiple linear regression (MLR) and RBFNN. Quantitative structure-activity relationships (QSAR) models based on calculated molecular descriptors have been clearly established. Among them, SVM model gave the highest q2 and correlation coefficient R. It indicates that the SVM performed better generalization ability than the MLR and RBFNN methods, especially in the test set and the whole data set. This eventually leads to better generalization than neural networks, which implement the empirical risk minimization principle and may not converge to global solutions. We would expect SVM method as a powerful tool for the prediction of molecular properties. © 2005 Elsevier Ireland Ltd. All rights reserved.</t>
  </si>
  <si>
    <t xml:space="preserve">Yadav V.; Sheoran S.K.; Sheoran R.K.</t>
  </si>
  <si>
    <t xml:space="preserve">Quantum assisted machine learning (QML) have the potential to outperform the classical Machine Learning models by utilizing the quantum feature maps embeddings and variational circuits. In this study, a Hybrid Quantum Support Vector Machine (QSVM) and Quantum Neural Network (QNN) is proposed for supervised classification applied to the Breast Cancer Wisconsin Dataset. The QSVM component employs fidelity quantum kernels with three distinct feature maps—Z, ZZ and Pauli—to transform classical data into quantum states. The QNN is implemented using a variational quantum classifier based on the EstimatorQNN, which enables quantum-trainable parameters for enhanced feature extraction. The proposed hybrid methodology is evaluated using seven principal features, and experiments are conducted on IBM's state vector Qiskit Aer local simulator. Performance is assessed based on accuracy, recall, precision, F1-score, and confusion matrix. Additionally, statistical significance is evaluated using paired t test and F test to compare the performance of different quantum feature maps and to validate improvements made in the Hybrid Model. The results demonstrate that the hybrid QSVM/QNN approach improves classification performance not only in terms of accuracy by achieving above 90 accuracy but also by reducing computational cost. This work contributes to the advancement of quantum enhanced machine learning (ML) algorithms by demonstrating the hybrid quantum-classical approach in structured data classification. © Copyright 2026 Yadav et al. Distributed under Creative Commons CC-BY 4.0. http://www.creativecommons.org/licenses/by/4.0/.</t>
  </si>
  <si>
    <t xml:space="preserve">Septiyanto A.F.; Sarno R.; Taufany F.; Larekeng S.H.; Fajar A.; Sungkono K.R.; Lee S.S.</t>
  </si>
  <si>
    <t xml:space="preserve">Bioinformatics is a field that requires Artificial Intelligence (AI) capabilities to analyze and process large datasets. One solution currently reported to handle the problems of high complexity in AI models is Quantum Machine Learning (QML). QML is a way to process large datasets more quickly and accurately by using the rules of quantum physics. This research evaluates the ability of two QML methods, Quantum Support Vector Classifier (QSVC) and Variational Quantum Circuit (VQC), to predict off-target effects in CRISPR/Cas9. The dataset used has a very high data imbalance, making it a challenge for the model to handle the imbalance. To achieve the best model performance, our research uses hyperparameter optimization to determine the optimal parameters for the number of qubits and circuit depth with linear entanglement and ZZFeatureMap. Our evaluation performance uses AUROC and PRAUC as the primary references, followed by accuracy and F1-score. The comparison results indicated that QSVC achieved the best performance with six qubits and two repetitions, having AUROC 0.861, PRAUC 0.821, accuracy 0.785, and F1-score 0.781. In comparison, VQC had AUROC 0.713, PRAUC 0.602, accuracy 0.725, and an F1-score of 0.727. The results indicate that QSVC with appropriate parameters can provide significant results for imbalanced data in the case study of predicting off-target effects of CRISPR/Cas9. Future research is expected to process more datasets with QML enhancement to handle a larger number of datasets using more optimal resource utilization, addressing the analytical needs in the field of bioinformatics. © 2025 IEEE.</t>
  </si>
  <si>
    <t xml:space="preserve">Chellapandi N.; Muthumari A.</t>
  </si>
  <si>
    <t xml:space="preserve">Thyroid illness is a significant health issue necessitating precise diagnostic methods to enhance treatment efficacy. Conventional approaches often encounter difficulties stemming from intricate data properties, such as class imbalance and noisy features. A Quantum Support Vector Machine (QSVM) classifier was used to overcome these constraints in predicting thyroid illness, capitalizing on the computing benefits of quantum principles for managing multidimensional feature spaces. Two datasets were employed: the UCI Machine Learning Repository thyroid dataset, consisting of about 2,800 training instances and 972 testing instances with 29 characteristics, and the DDTI: Thyroid Ultrasound images dataset, which includes 480 ultrasound images annotated by clinical specialists. The UCI Machine Learning Repository dataset was used to assess parameter-based classification efficacy, whilst the DDTI images offered imaging-based validation for robustness. The QSVM classifier attained a prediction accuracy of 99.44%, precision of 98.62%, recall of 98.61%, and F1-score of 98.61%, underscoring its efficacy in distinguishing between normal and abnormal thyroid diseases. The findings indicate that quantum-inspired learning frameworks may enhance clinical decision support systems for predicting thyroid illness. © 2025 IEEE.</t>
  </si>
  <si>
    <t xml:space="preserve">Liu X.</t>
  </si>
  <si>
    <t xml:space="preserve">Quantum machine learning has emerged as a promising frontier, leveraging the principles of quantum computing to enhance classical algorithms. This paper proposes an optimized Quantum Support Vector Classifier (QSVC) for the classification of the MNIST dataset (a benchmark in handwritten digit recognition). We employ a Chebyshev Parameterized Quantum Circuit (PQC) with an increased number of qubits and layers, and utilize an existing projected quantum kernel method to effectively capture the complex patterns in the data. To enhance model robustness, data augmentation techniques are applied, and dimensionality reduction is performed using Principal Component Analysis (PCA). The proposed QSVC demonstrates competitive accuracy on both the training and testing datasets, highlighting the potential of quantum kernel methods in practical machine learning applications. A comparative analysis with classical Support Vector Machines (SVM) demonstrates the feasibility of quantum methods for high-dimensional classification tasks. Additionally, we investigate the impact of varying the number of qubits in the quantum circuit, providing in-depth insights into the scalability and performance trade-offs of quantum kernel methods.  © 2024 IEEE.</t>
  </si>
  <si>
    <t xml:space="preserve">Aly M.; Fadaaq S.; Warga O.A.; Nasir Q.; Talib M.A.</t>
  </si>
  <si>
    <t xml:space="preserve">Quantum Machine Learning (QML) has emerged as an interdisciplinary field that harnesses the potential of quantum computing to revolutionize classical machine learning paradigms. This paper presents a benchmarking study focused on four quantum classifier algorithms: Quantum Support Vector Classifier (QSVC), Variational Quantum Circuit (VQC), Quantum Neural Network Classifier (QNNC) and Pegasos Quantum Support Vector Classifier (PegasosQSVC). These quantum classifiers hold promise for unlocking quantum advantages in classification tasks. However, a systematic assessment of their performance across diverse datasets is yet to be fully explored. In this research study, we evaluate and compare the classification performance of quantum machine learning classifiers on various datasets (Breast Cancer, Diabetes, and Titanic) and compare them to a classical model. Our findings revealed that PegasosQSVC consistently maintained high performance across all datasets with the highest average accuracy, recall, and F1-score values of 0.81, 0.72, and 0.71, respectively, followed by VQC, followed by VQC, while QSVC and QNNC perform variably. Nevertheless, QSVC was found to balance performance and training time, achieving an average accuracy of 0.81 and a training time of 177 seconds. Overall, the classical model surpassed QML models as it was up to 10% higher in average accuracy.  © 2023 IEEE.</t>
  </si>
  <si>
    <t xml:space="preserve">Slysz M.; Kurowski K.; Waligóra G.; Węglarz J.</t>
  </si>
  <si>
    <t xml:space="preserve">Quantum computing is a rapidly growing field of science with many potential applications. One such field is machine learning applied in many areas of science and industry. Machine learning approaches can be enhanced using quantum algorithms and work effectively, as demonstrated in this paper. We present our experimental attempts to explore Quantum Support Vector Machine (QSVM) capabilities and test their performance on the collected well-known images of handwritten digits for image classification called the MNIST benchmark. A variational quantum circuit was adopted to build the quantum kernel matrix and successfully applied to the classical SVM algorithm. The proposed model obtained relatively high accuracy, up to 99%, tested on noiseless quantum simulators. Finally, we performed computational experiments on real and recently setup IBM Quantum systems and achieved promising results of around 80% accuracy, demonstrating and discussing the QSVM applicability and possible future improvements.  © The Author(s), under exclusive license to Springer Nature Switzerland AG 2023.</t>
  </si>
  <si>
    <t xml:space="preserve">Hangun B.; Altun O.; Eyecioglu O.</t>
  </si>
  <si>
    <t xml:space="preserve">Quantitative Structure-Activity Relationship (QSAR) analysis is a computational method that predicts a chemical's properties, such as its biodegradability, from its molecular structure. It is a powerful, cost-effective alternative to traditional lab testing. While classical machine learning (ML) approaches like k-nearest neighbor (kNN) and support vector machines (SVM) have been successful in QSAR, complex problems remain a challenge. Quantum machine learning (QML), a subfield of quantum computing, has emerged to address problems that may be too complex for classical methods. This study proposes a hybrid classical-quantum model for a QSAR biodegradability classification task. Our model leverages a classical neural network (NN) for feature extraction and a quantum neural network (QNN) for classification. The hybrid model yielded promising results, achieving an accuracy of 87.96%, precision of 84.29%, recall of 79.21%, F1-Score of 81.61%, specificity of 91.85%, and an AUROC of 0.92. Compared to classical models with a similar number of trainable parameters, our hybrid approach achieved performance nearly comparable to state-of-the-art methods. These results suggest QML could become a strong alternative to classical ML in computational chemistry. © 2025 IEEE.</t>
  </si>
  <si>
    <t xml:space="preserve">Rebentrost P.; Mohseni M.; Lloyd S.</t>
  </si>
  <si>
    <t>1805</t>
  </si>
  <si>
    <t xml:space="preserve">Supervised machine learning is the classification of new data based on already classified training examples. In this work, we show that the support vector machine, an optimized binary classifier, can be implemented on a quantum computer, with complexity logarithmic in the size of the vectors and the number of training examples. In cases where classical sampling algorithms require polynomial time, an exponential speedup is obtained. At the core of this quantum big data algorithm is a nonsparse matrix exponentiation technique for efficiently performing a matrix inversion of the training data inner-product (kernel) matrix. © 2014 American Physical Society.</t>
  </si>
  <si>
    <t xml:space="preserve">Khan W.R.; Kamran M.A.; Khan M.U.; Ibrahim M.M.; Kim K.S.; Ali M.U.</t>
  </si>
  <si>
    <t xml:space="preserve">Quantum information processing introduces novel approaches for classical data encoding to encompass the complex patterns of input data of practical computational challenges using basic principles of quantum mechanics. The classification of diabetes is an example of a problem that can be efficiently resolved by using quantum unitary operations and the variational quantum classifier (VQC). This study demonstrates the effects of the number of qubits, types of feature maps, optimizers’ class, and the number of layers in the parametrized circuit, and the number of learnable parameters in ansatz influences the effectiveness of the VQC. In total, 76 variants of VQC are analyzed for four and eight qubits’ cases and their results are compared with six classical machine learning models to predict diabetes. Three different types of feature maps (Pauli, Z, and ZZ) are implemented during analysis in addition to three different optimizers (COBYLA, SPSA and SLSQP). Experiments are performed using the PIMA Indian Diabetes Dataset (PIDD). The results conclude that VQC with six layers embedded with an error correction scaling factor of 0.01 and having ZZ feature map and COBYLA optimizer outperforms other quantum variants. The optimal proposed model attained the accuracy of 0.85 and 0.80 for eight and four qubits’ cases, respectively. In addition, the final quantum model among 76 variants was compared with six classical machine learning models. The results suggest that the proposed VQC model has outperformed four classical models including SVM, random forest (RF), decision tree (DT), and linear regression (LR). Copyright © 2025 Wajiha Rahim Khan et al. International Journal of Intelligent Systems published by John Wiley &amp; Sons Ltd.</t>
  </si>
  <si>
    <t xml:space="preserve">Nohara T.; Oyama S.; Noda I.</t>
  </si>
  <si>
    <t xml:space="preserve">We investigated the potential application of quantum computing using the Kronecker kernel to pairwise classification and have devised a way to apply the Harrow-Hassidim-Lloyd (HHL)-based quantum support vector machine algorithm. Pairwise classification can be used to predict relationships among data and is used for problems such as link prediction and chemical interaction prediction. However, in pairwise classification using a Kronecker kernel, it is very costly to calculate the Kronecker product of the kernel matrices when there is a large amount of data. We found that the Kronecker product of kernel matrices can be represented more efficiently in time and space in quantum computing than that in classical computing. We also found that a pairwise classifier can be effectively trained by applying the HHL-based quantum support vector machine algorithm to the Kronecker kernel matrix. In an experiment comparing a classical algorithm with a quantum support vector machine with a Kronecker kernel run on a quantum computing simulator, the misclassification rate of the latter was almost the same as that of the former for the same pairwise classification problem in some cases. This indicates that a quantum support vector machine with a Kronecker kernel algorithm can achieve accuracy equivalent to that of the classical algorithm more efficiently and scalably. This finding paves the way for applying quantum machine learning to predicting relationships in large-scale data. © 2022, The Author(s).</t>
  </si>
  <si>
    <t xml:space="preserve">Simoes R.D.M.; Huber P.; Meier N.; Smailov N.; Fuchslin R.M.; Stockinger K.</t>
  </si>
  <si>
    <t xml:space="preserve">Machine learning and quantum computing are both areas with considerable progress in recent years. The combination of these disciplines holds great promise for both research and practical applications. Recently there have also been many theoretical contributions of quantum machine learning algorithms with experiments performed on quantum simulators. However, most questions concerning the potential of machine learning on quantum computers are still unanswered such as How well do current quantum machine learning algorithms work in practice? How do they compare with classical approaches? Moreover, most experiments use different datasets and hence it is currently not possible to systematically compare different approaches. In this paper we analyze how quantum machine learning can be used for solving small, yet practical problems. In particular, we perform an experimental analysis of kernel-based quantum support vector machines and quantum neural networks. We evaluate these algorithm on 5 different datasets using different combinations of quantum feature maps. Our experimental results show that quantum support vector machines outperform their classical counterparts on average by 3 to 4% in accuracy both on a quantum simulator as well as on a real quantum computer. Moreover, quantum neural networks executed on a quantum computer further outperform quantum support vector machines on average by up to 5% and classical neural networks by 7%.  © 2013 IEEE.</t>
  </si>
  <si>
    <t xml:space="preserve">Quantum Machine Learning (QML) represents a frontier in computational intelligence, leveraging quantum mechanics to enhance data-driven learning paradigms. This study systematically evaluates the efficacy of two quantum machine learning algorithms-Quantum Support Vector Machine (QSVM) and Quantum Neural Networks (QNN) on IBM quantum simulation platforms. Utilising the Aer Simulator, Qasm Simulator and Statevector Simulator, the algorithms are benchmarked across six diverse datasets: Iris, Wine, Breast Cancer, Rain, Indian Liver Patient and Banknote Authentication. To accommodate the qubit limitations of current quantum systems, feature dimensionality is optimised through Principal Component Analysis (PCA) while preserving the majority of data variance. Performance is evaluated using accuracy, precision, recall, F1-score, training loss and execution time. In addition, classical machine learning models, including Support Vector Machine, Decision Tree, k-Nearest Neighbour and Multi-Layer Perceptron are employed as baseline classifiers using the same preprocessing pipeline and feature space. Experimental results demonstrate that the performance of quantum models is highly dataset-dependent, with competitive results achieved on selected complex datasets where the performance of classical models degrade while classical approaches generally exhibit superior accuracy and computational efficiency on low-dimensional benchmark problems. The findings provide a comprehensive assessment of QSVM and QNN under current Noisy Intermediate-Scale Quantum (NISQ) constraints and contribute to understanding the practical applicability and limitations of quantum machine learning in near-term quantum environments. © The Author(s), under exclusive licence to Springer Science+Business Media, LLC, part of Springer Nature 2026.</t>
  </si>
  <si>
    <t xml:space="preserve">Nivelkar M.; Bhirud S.G.</t>
  </si>
  <si>
    <t xml:space="preserve">Quantum machine learning [QML] is a new formulation on quantum hardware platform will try to achieve more enhanced data analysis and prediction which classical computer will not be able to generate. Classical computers are having computational limitations in terms of large volume data processing. Quantum machine are not to replace classical machines but quantum computers will solve operational difficulties of classical machines in terms of computational time. Quantum machine learning accelerates the supervised, unsupervised, and reinforcement learning methods. Classical ML methods such as SVM, PCA, Clustering, Neural networks are giving promising results but classical machines are inadequate to perform certain computations. Proposed Quantum machine learning would result in complex and weird patterns. Quantum support vector machine(QSVM) is a method used in supervised learning for classification and regression. QSVM uses high-dimensional feature space possibly on infinite dimension called as enhanced feature space for generating hyperplane. This hyperplane will classify non-linear and complex data on multiclass domain to achieve improved accuracy in less computational time. This paper investigates various strategies for quantum enhanced machine learning algorithm in supervised learning method. © 2022, The Author(s), under exclusive license to Springer Nature Singapore Pte Ltd.</t>
  </si>
  <si>
    <t xml:space="preserve">Feng X.; Li J.; Huang C.; Li J.; Chen R.; Ke J.; Ma Z.</t>
  </si>
  <si>
    <t xml:space="preserve">Supervised machine learning is the classification of new data on the basis of already classified training data, from which support vector machine is one of the most significant model. In 2014, Rebentrost, Mohseni and Lloyd showed that for a suitable specified N × M data set, there is a quantum algorithm that constructs a support vector machine model in quantum settings. If the data set is well-defined, their algorithm runs in time poly(logMN, 1/ε), where ε is the desired precision of the output state. We in this paper present an improved quantum support vector machine model whose running time is polynomial in log(1/ε), exponentially improving the dependence on precision while keeping essentially the same dependence on other parameters. © 2019, Springer Nature Switzerland AG.</t>
  </si>
  <si>
    <t xml:space="preserve">Geddam G.; Ramadevi N.; Srilatha P.; Dinesh Babu V.; Chandra Mouli D.; Lakshmana Rao A.</t>
  </si>
  <si>
    <t xml:space="preserve">Diabetes prediction is a crucial healthcare challenge, where accurate and efficient classification models play a pivotal role in early diagnosis and management. This study presents a comprehensive approach combining traditional machine learning, quantum-enhanced algorithms, and data balancing techniques to improve predictive accuracy for diabetes detection. Initially, the Adaptive Synthetic (ADASYN) oversampling method is applied to address class imbalance in the dataset, ensuring equitable model training. Traditional machine learning models, including Random Forest, Gradient Boosting, Naive Bayes, SVM, and AdaBoost, are trained on the balanced dataset. These models are evaluated using key metrics such as accuracy, precision, recall, F1-score, with Random Forest achieving the best performance among traditional models, with an accuracy of 80% and an ROC-AUC of 0.89. Subsequently, quantum machine learning techniques, including quantum support vector classifier (QSVC), quantum k-nearest neighbors (Qk-NN), and quantum neural networks (QNN), are employed. The results demonstrate the significant potential of quantum-enhanced models, with QSVC achieving 90% accuracy, Qk-NN achieving 85% accuracy, and QNN surpassing others with 92% accuracy. This hybrid approach, augmented with ADASYN for improved data balance, underscores the superiority of quantum models in leveraging advanced computation to achieve higher predictive performance. The findings highlight the promise of integrating quantum computing into healthcare analytics, paving the way for more accurate diabetes prediction. © The Author(s), under exclusive license to Springer Nature Singapore Pte Ltd. 2026.</t>
  </si>
  <si>
    <t xml:space="preserve">Raubitzek S.; Mallinger K.</t>
  </si>
  <si>
    <t xml:space="preserve">In this article, we investigate the applicability of quantum machine learning for classification tasks using two quantum classifiers from the Qiskit Python environment: the variational quantum circuit and the quantum kernel estimator (QKE). We provide a first evaluation on the performance of these classifiers when using a hyperparameter search on six widely known and publicly available benchmark datasets and analyze how their performance varies with the number of samples on two artificially generated test classification datasets. As quantum machine learning is based on unitary transformations, this paper explores data structures and application fields that could be particularly suitable for quantum advantages. Hereby, this paper introduces a novel dataset based on concepts from quantum mechanics using the exponential map of a Lie algebra. This dataset will be made publicly available and contributes a novel contribution to the empirical evaluation of quantum supremacy. We further compared the performance of VQC and QKE on six widely applicable datasets to contextualize our results. Our results demonstrate that the VQC and QKE perform better than basic machine learning algorithms, such as advanced linear regression models (Ridge and Lasso). They do not match the accuracy and runtime performance of sophisticated modern boosting classifiers such as XGBoost, LightGBM, or CatBoost. Therefore, we conclude that while quantum machine learning algorithms have the potential to surpass classical machine learning methods in the future, especially when physical quantum infrastructure becomes widely available, they currently lag behind classical approaches. Our investigations also show that classical machine learning approaches have superior performance classifying datasets based on group structures, compared to quantum approaches that particularly use unitary processes. Furthermore, our findings highlight the significant impact of different quantum simulators, feature maps, and quantum circuits on the performance of the employed quantum estimators. This observation emphasizes the need for researchers to provide detailed explanations of their hyperparameter choices for quantum machine learning algorithms, as this aspect is currently overlooked in many studies within the field. To facilitate further research in this area and ensure the transparency of our study, we have made the complete code available in a linked GitHub repository. © 2023 by the authors.</t>
  </si>
  <si>
    <t xml:space="preserve">Naresh V.S.; Reddi S.</t>
  </si>
  <si>
    <t xml:space="preserve">This study explored a Quantum Support Vector Machine (QSVM) and its application in the improvement of predictive modeling for diabetes and critical healthcare applications. Quantum computing can provide QSVMs with capabilities such as estimation of the quantum kernel, mapping a high-dimensional feature space, and robustness in noisy data that cannot be equaled by traditional SVMs. A hybrid quantum–classical pipeline was presented to evaluate QSVM classification performance by incorporating dimensionality reduction techniques (PCA) with feature scaling and quantum feature mapping. Several datasets were chosen to assess the classification performance, including diabetes, wine, prostate cancer, breast cancer, and IRIS datasets. Performance was measured using metrics such as accuracy, F1-score, ROC AUC, and R2. As can be seen from the results, QSVM can outperform or match classical SVMs in a few scenarios, especially when dealing with complex medical data, which shows great promise for this quantum machine learning application to advance healthcare and other areas. The proposed system model integrates QSVM with healthcare services through secure quantum-encoded data transfer between the hospital, cloud server, and patient, to enhance the outcomes of predictive modeling and classification. This further opens up the scope for future studies, which must consider combining QSVMs with other quantum algorithms and extending them to cover more healthcare-related datasets to utilize the full capacity of QSVMs in completely transforming medical predictive modeling. © The Author(s), under exclusive licence to Springer Science+Business Media, LLC, part of Springer Nature 2025.</t>
  </si>
  <si>
    <t xml:space="preserve">Abdulsalam G.; Ahmad I.</t>
  </si>
  <si>
    <t xml:space="preserve">Quantum kernels in modern computational paradigms present a revolutionary approach to machine learning by harnessing the power of quantum mechanics to redefine how data is processed and analysed. This study examines the performance and applicability of quantum kernels in machine learning models by investigating their potential among different tasks and datasets against classical kernels. The study utilized the radial basis function (RBF), linear, polynomial, and sigmoid classical kernel functions besides quantum kernel and fidelity state vector quantum kernels. The classical support vector classifier (SVC) and quantum support vector classifier (QSVC) with classical and quantum kernels were employed to perform classification tasks on different datasets, namely Cleveland, Framingham, CHSL, Glass Identification, Obesity, and Academic Success. Additionally, support vector regressor (SVR) and quantum support vector regressor (QSVR), employing classical and quantum kernels, were applied for regression tasks using Concrete, Abalone, Aquatic Toxicity, Auto MPG, and Auction Verification datasets. The results of the study provided insights into the performance of quantum kernels when applied to both classical and quantum SVM models regarding classification and regression tasks. In classification tasks, the quantum kernels provided significant competitiveness in terms of accuracy, precision, recall, and F1 measure scores when compared to the classical kernels. Moreover, the quantum kernels have demonstrated promising outcomes in regression tasks, outperforming the classical kernels by achieving less mean squared error (MSE), mean absolute error (MAE), and superior R-squared scores. © The Author(s), under exclusive licence to Springer Science+Business Media, LLC, part of Springer Nature 2025.</t>
  </si>
  <si>
    <t xml:space="preserve">Cho H.; Kim J.; No K.T.; Lim H.</t>
  </si>
  <si>
    <t xml:space="preserve">Accurate amine property prediction is essential for optimizing CO2 capture efficiency in post-combustion processes. Quantum machine learning (QML) can enhance predictive modeling by leveraging superposition, entanglement, and interference to capture complex correlations. In this study, we developed hybrid quantum neural networks (HQNN) to improve quantitative structure-property relationship (QSPR) modeling for CO2-capturing amines. By integrating variational quantum regressors with classical multi-layer perceptrons and graph neural networks, quantum-enhanced performance was explored in physicochemical property prediction under noiseless conditions and robustness was evaluated against quantum hardware noise using IBM quantum systems. Our results showed that HQNNs improve predictive accuracy for key solvent properties, including basicity, viscosity, boiling point, melting point, and vapor pressure. The fine-tuned and frozen pre-trained HQNN models with 9 qubits consistently achieved the highest rankings, highlighting the benefits of integrating quantum layers with pre-trained classical models. Furthermore, simulations under hardware noise confirmed the robustness of HQNNs, maintaining predictive performance. Overall, these findings emphasize the potential of hybrid quantum-classical architectures in molecular modeling. As quantum hardware and QML algorithms continue to advance, practical quantum benefits in QSPR modeling and materials discovery are expected to become increasingly attainable, driven by improvements in quantum circuit design, noise mitigation, and scalable architectures. © The Author(s) 2025.</t>
  </si>
  <si>
    <t xml:space="preserve">Jaiswal A.K.; Bisht B.; Yadav H.K.; Kumar P.</t>
  </si>
  <si>
    <t xml:space="preserve">The computational intractability of the analysis of multimodal large-dimensional data, including genomics, electronic health records (EHR), proteomics, and real-world evidence, based on classical machine learning (ML) models, is the fundamental limitation of the precision medicine and proactive pharmacovigilance paradigm. Such models can also have problems modeling complex, non-linear feature interactions important to detect diseases at an early stage and to detect rare adverse drug events (ADEs). To address these shortcomings, this paper is suggesting a new hybrid quantumclassical framework of computation. We make use of the unique ability of the quantum computation, like superposition and entanglement to create more powerful predictive models. The encoding of the multimodal clinical and pharmacological data into quantum states (via specialized feature maps) followed by processing by Variational Quantum Classifiers (VQC) and Quantum Support Vector Machines (QSVM) on simulated quantum processors, is our framework. To benchmark, we made two major tasks: Type 2 Diabetes (T2D) early-stage prediction based on synthetic multimodal data and identification of rare ADE based on a curated selection of FDA Adverse Event Reporting System (FAERS). The outcome of the simulations indicates that our quantum-based models are always more effective than the classical models, such as the XGBoost and Deep Neural Networks, especially when it comes to sensitivity and F1 score in imbalanced class issues. QSVM model obtained an AUC ROC that is 7.3 percent greater than the optimal classical model, and a 15 percent greater recall than the optimal classical model in T2D prediction and rare ADE detection, respectively. This data supports the fact that quantum machine learning (QML) can be used to bring in a new dawn of predictive analytics in healthcare, and that it provides the way to more accurate, comprehensive, and proactive medical care.  © 2026 IEEE.</t>
  </si>
  <si>
    <t xml:space="preserve">Xu L.; Wang J.; Chen J.; Xu J.; Li M.; Zhang W.</t>
  </si>
  <si>
    <t xml:space="preserve">Background: Quantum support vector machines and quantum kernel methods have emerged as promising approaches within quantum machine learning, with the goal of leveraging quantum computing to enhance classification performance and computational efficiency. This review systematically surveys recent advances in QSVM and kernel-based quantum classifiers, and analyzes their algorithmic frameworks, experimental implementations, and practical challenges. Methods: We systematically examine QSVM approaches, including three schemes based on HHL algorithm, Hadamard test, and variational optimization, alongside multi-class extension and quantum feature mapping. Result: Findings indicate that QSVM can offer theoretical speed-ups in specific settings, particularly when combined with quantum feature mappings that encode data into high-dimensional Hilbert spaces. However, current implementations remain constrained by hardware limitations, and a lack of large-scale general validation. Most studies focus on proof-of-principle experiments with limited real-world applicability. Conclusion: While promising, QSVM requires further work on scalability, noise resilience, and real-world integration. Future research should focus on robust algorithms and empirical studies. © 2026 John Wiley &amp; Sons Ltd.</t>
  </si>
  <si>
    <t xml:space="preserve">Bhatia A.S.; Saggi M.K.; Kais S.</t>
  </si>
  <si>
    <t>60</t>
  </si>
  <si>
    <t xml:space="preserve">In the drug discovery paradigm, the evaluation of absorption, distribution, metabolism, and excretion (ADME) and toxicity properties of new chemical entities is one of the most critical issues, which is a time-consuming process, immensely expensive, and poses formidable challenges in pharmaceutical R&amp;D. In recent years, emerging technologies like artificial intelligence (AI), big data, and cloud technologies have garnered great attention to predict the ADME and toxicity of molecules. Currently, the blend of quantum computation and machine learning has attracted considerable attention in almost every field ranging from chemistry to biomedicine and several engineering disciplines as well. Quantum computers have the potential to bring advances in high-throughput experimental techniques and in screening billions of molecules by reducing development costs and time associated with the drug discovery process. Motivated by the efficiency of quantum kernel methods, we proposed a quantum machine learning (QML) framework consisting of a classical support vector classifier algorithm with a kernel-based quantum classifier. To demonstrate the feasibility of the proposed QML framework, the simplified molecular input line entry system (SMILES) notation-based string kernel, combined with a quantum support vector classifier, is used for the evaluation of chemical/drug ADME-Tox properties. The proposed quantum machine learning framework is validated and assessed via large-scale simulations. Based on our results from numerical simulations, the quantum model achieved the best performance as compared to classical counterparts in terms of the area under the curve of the receiver operating characteristic curve (AUC ROC; 0.80-0.95) for predicting outcomes on ADME-Tox data sets for small molecules, with a different number of features. The deployment of the proposed framework in the pharmaceutical industry would be extremely valuable in making the best decisions possible. © 2023 American Chemical Society</t>
  </si>
  <si>
    <t xml:space="preserve">Das J.K.A.; Malhotra M.</t>
  </si>
  <si>
    <t xml:space="preserve">Machine learning (ML) algorithms have gained great success during the last 20 years. However, this development is encountering growing difficulties. With dataset sizes continually increasing and Moore's Law coming to an end, it is predicted that soon a stage will arrive where present computing tools will no longer suffice. With quantum computing technology approaching the point of commercialization enabling quantum supremacy, they can efficiently tackle certain challenges in machine learning that are thought to be difficult for conventional machines. This paper details how quantum machine learning works, with special attention to the quantum support vector classifier. This work also brings out the comparison between the Quantum support vector classifier and its classical equivalent by working on the Cleveland heart disease dataset.  © 2022 IEEE.</t>
  </si>
  <si>
    <t xml:space="preserve">Liu H.; Zhang Z.; Zheng K.; Liang Z.; Chen C.-S.; Carothers C.; Hahn J.</t>
  </si>
  <si>
    <t xml:space="preserve">Purpose: Recent advances in quantum computing offer opportunities to explore alternative methods for the solution of classification problems commonly found in biomedical research. This study investigates the feasibility of using quantum kernel-based Support Vector Machines (QSVMs) to classify Autism Spectrum Disorder (ASD) using metabolomic measurements on real quantum hardware. This work evaluates the capabilities of current quantum computers for biomedical classification and establishes practical baselines for future studies. Methods: A quantum classification pipeline was developed using a variety of angle encoding schemes. An exhaustive search was performed to identify an optimal subset of four metabolomic features via simulation. These features were used to benchmark multiple encoding strategies via simulation, followed by validation on IBM Quantum hardware. A baseline using Support Vector Machine (SVM) with the same features was established for comparison. Results: The best-performing QSVM achieved an average classification accuracy of 0.9434 on real quantum hardware, which is comparable to the accuracy using classical SVM of 0.9371 on the same feature set. These results highlight the potential of quantum kernels to capture meaningful feature interactions in biomedical data, despite the levels of noise and overhead of quantum computing. Conclusion: This study demonstrates that quantum kernel SVMs can achieve classification performance comparable to classical methods on biomedical data. However, current limitations in quantum hardware, such as qubit communication overhead and noise, pose challenges for practical deployment. Continued improvements in hardware acceleration and error correction are needed to realize the potential of quantum machine learning for biomedical classification tasks. © The Author(s) under exclusive licence to Biomedical Engineering Society 2026.</t>
  </si>
  <si>
    <t xml:space="preserve">Vidhate H.; Vidhate D.</t>
  </si>
  <si>
    <t xml:space="preserve">The convergence of quantum chemistry and machine learning offers a novel approach for predicting and uncovering new molecular properties with enhanced accuracy and efficiency. This research proposes a hybrid framework that integrates quantum mechanical calculations with advanced machine learning techniques to predict molecular characteristics such as electronic structures, dipole moments, and reaction pathways. By leveraging quantum chemistry data and incorporating deep learning models, this approach seeks to accelerate molecular property predictions while maintaining quantum-level precision. The methodology involves generating quantum chemistry datasets using ab initio methods like Density Functional Theory (DFT) or Hartree-Fock for a diverse range of molecules, followed by transforming these datasets into machine-readable formats, such as molecular fingerprints or Coulomb matrices. The proposed model architecture combines a quantum feature layer with a deep neural network, augmented by an attention mechanism that prioritizes critical quantum features driving molecular behavior. Through supervised learning, rigorous hyperparameter tuning, and optimization, the model is designed to generalize across varied molecular datasets, offering predictions comparable in accuracy to traditional quantum chemistry methods but with significantly reduced computational costs and time. The expected outcomes include high-precision predictions of quantum-level molecular properties, improved computational efficiency, and broad applicability to both known and novel compounds. The insights derived from this study hold substantial potential in advancing material discovery, pharmaceutical development, and the design of sustainable catalysts, thereby demonstrating the transformative impact of integrating quantum chemistry with machine learning in the pursuit of novel molecular properties. © Grenze Scientific Society, 2025.</t>
  </si>
  <si>
    <t xml:space="preserve">Jain P.; Pathak P.; Bhatia K.; Devendrababu S.; Ganguly S.</t>
  </si>
  <si>
    <t xml:space="preserve">In molecular research, the modelling and analysis of molecules through simulation is an important part that has a direct influence on medical development, material science and drug discovery. The processing power required to design protein chains with hundreds of peptides is huge. Classical computing techniques, including state-of-the-art machine learning models being deployed on classical computing machines, have proven to be inefficient in this task, though they have been successful in a limited way. Moreover, current practical implementations, as opposed to purely theoretical modelling, are often infeasible in terms of both time and cost. One of the major areas where quantum machine learning is expected to have a profound advantage over classical algorithms is drug discovery. Quantum generative models have given some promising benefits in recent studies. This paper introduces three novel quantum generative adversarial network (QGAN) architecture variants resulting from different configurations, various quantum circuit layers and patched ansatz. A quantum simulator from Xanadu’s PennyLane was utilized for executing the QGAN models trained on the QM9 dataset. Upon evaluation, one of the models, namely the QWGAN-HG-GP (Wasserstein distance with gradient penalty) model, outperformed the other QGAN models in different drug molecule property metrics. © The Author(s) 2026.</t>
  </si>
  <si>
    <t xml:space="preserve">Panda S.; Sinharay A.; Roy A.; Ghosh A.K.</t>
  </si>
  <si>
    <t xml:space="preserve">Quantum Computing is rapidly evolving and promises significant advancements across various scientific and technological fields. In machine learning, quantum algorithms offer the potential for exponential speedup compared to classical algorithms. Among classical models, Support Vector Machines (SVM) is well-regarded for their robust classification capabilities. The Fuzzy Support Vector Machine (FSVM) extends this by addressing classification issues related to training samples, allowing different influences on the optimal hyper plane and enhancing margin separation while minimizing the impact of outliers and noise. Quantum Support Vector Machines (QSVM) represents a promising area in Quantum Machine Learning (QML). QSVMs aim to overcome the dimensional and capacity limitations of classical SVMs by utilizing quantum computing are unique properties. This includes the development of quantum feature maps and optimization techniques that can improve the performance of QSVMs, potentially allowing them to handle more complex datasets and achieve better generalization. The Quantum Fuzzy Support Vector Machine (QFSVM) combines fuzzy logic's robustness with quantum computing's power. This fusion allows QFSVM to effectively manage large and complex datasets with inherent uncertainty, making it a strong candidate for a wide range of classification problems. In this study, we perform a comparative analysis of classical and quantum-inspired models, including k-Nearest Neighbours (kNN), Linear SVM, FSVM, and QFSVM, on synthetic binary classification datasets. By evaluating performance metrics such as accuracy, precision, recall, and execution time, we have demonstrated that quantum approaches, particularly QFSVM, outperform classical methods in terms of runtime. This research highlights the potential of quantum computing to accelerate machine learning processes, leading to faster training times and improved performance. © The Author(s), under exclusive license to Springer Nature Singapore Pte Ltd. 2026.</t>
  </si>
  <si>
    <t xml:space="preserve">Penugonda C.M.; Devalla V.K.; Rami Reddy C.; Karri S.B.</t>
  </si>
  <si>
    <t xml:space="preserve">With the increasing demand for high-performance materials in energy, healthcare, and electronics, the discovery of novel nanomaterials has become a critical area of research. Traditional methods for predicting material properties, such as Density Functional Theory (DFT) and classical machine learning (ML), often struggle with scalability and computational efficiency when dealing with complex, high-dimensional quantum systems. This study explores the potential of Quantum Machine Learning (QML) as a transformative tool for accelerating nanomaterial property prediction. By leveraging quantum computing frameworks like IBM Qi skit and PennyLane, quantum algorithms such as Quantum Support Vector Machines (QSVM) and Quantum Neural Networks (QNN) were applied to a real-world dataset containing 486 nanomaterial entries. Comparative analysis using performance metrics like MAE, RMSE, and R2 demonstrated that quantum models outperformed classical ones in both accuracy and adaptability to data complexity. Power BI was used for advanced visualization to interpret feature relationships, entropy levels, and prediction patterns across models. Key findings suggest that QML provides a promising alternative to conventional methods by offering faster, more accurate predictions, particularly for datasets with high entropy. While challenges remain - such as limited dataset scope and hardware access - this study lays the groundwork for broader adoption of QML in computational material science and calls for future research involving real quantum hardware and larger, more diverse datasets.  © 2025 The Authors.</t>
  </si>
  <si>
    <t xml:space="preserve">Shreekumar T.; Rashmi K.M.; Ravinarayana; Pradeep B.S.</t>
  </si>
  <si>
    <t xml:space="preserve">Quantum technology has become a revolutionary paradigm that can be used to transform data processing according to the principles of entanglement and superposition. Although it has theoretical prospects, there are presently limited practical applications in machine learning in practice due to circuit depth, noise sensitivity, and limited qubit fidelity, which limit scalability and stability. Meeting these challenges, the current study applies and compares a common framework that incorporates both traditional machine learning and quantum machine learning models for comparative performance evaluation. The models under examination are Support Vector Machine (SVM), Convolutional Neural Network (CNN), Quantum Neural Network (QNN), Quantum Support Vector Machine (QSVM), and Quantum Convolutional Neural Network (QCNN). Simulations were performed using Python with TensorFlow and Keras for traditional implementations and Qiskit for quantum simulation on the MNIST multi class image dataset and the UCI Breast Cancer binary classification dataset. The outcomes illustrate that SVM recorded 98% accuracy in MNIST and 97% in UCI with an AUC score of 1.00, establishing its efficiency and computational power. QCNN attained 96% and 97% accuracy with AUC scores of 0.99 and 0.98 respectively, demonstrating higher discriminative power at the cost of almost five times higher training time owing to circuit complexity. QSVM reached 90% accuracy, indicating sensitivity to feature map architecture and kernel setup. The comparative analysis shows that although SVM and CNN are still more effective under existing hardware conditions, quantum models, especially QCNN, have higher representational capability and scalability potential. The current study presents a reproducible basis for building hybrid quantum classical architectures for improving accuracy, flexibility, and computational efficiency in biomedical and image classification domains. © The Author(s), under exclusive license to Springer Nature Switzerland AG 2026.</t>
  </si>
  <si>
    <t xml:space="preserve">Athira P.G.; Deepika M.P.</t>
  </si>
  <si>
    <t xml:space="preserve">: Quantum physics-based quantum computing has gained attention as a new computing paradigm. As the quantum technology is advancing the Quantum Machine Learning (QML) is emerging as a new research area that combines quantum computing and machine learning. As classical machine learning continues to advance rapidly, by exploring new computing paradigms quantum machine learning is also progressing by taking a new parallel direction. In this paper, we implement and compare classical machine learning model, hybrid quantum-classical model, and fully quantum regression models for predicting Atmospheric Pollutant Concentration (APC). Multiple Linear Regression and Support Vector Regression are used as standard classical methods. Two hybrid models- Quantum Kernel Regression and Hybrid Quantum-Classical Regression, and a fully quantum model -Variational Quantum Regression are examined to understand how quantum techniques perform on today's noisy quantum computers, known as Noisy Intermediate-Scale Quantum (NISQ) devices. The implementation and testing are conducted using a real time atmospheric pollutant concentration dataset containing data from different states of India, which is collected from Open Government Data (OGD) platform. The quantum models are implemented using quantum circuits and simulated using IBM Qiskit. The studies show that in this NISQ era- mainly limited qubits which are noisy and limited depth circuits, the classical regression models give more accurate predictions than quantum models. However, the quantum and hybrid approaches show comparable training times and provide useful insights into how these methods may scale in the future. Overall, this study highlights both the potential and the current limitations of quantum regression techniques when applied to real-world environmental prediction tasks in the NISQ era.  © 2026 IEEE.</t>
  </si>
  <si>
    <t xml:space="preserve">Angelino A.; Landolfi E.; Massa A.; Troiano A.</t>
  </si>
  <si>
    <t xml:space="preserve">Quantum Computing (QC) is a novel and disruptive paradigm of computation that leverages the properties of quantum mechanical systems to represent and process information. The interest in this emerging technology and its applications has been growing in recent years, especially regarding Quantum Machine Learning (QML). In QML, QC and Machine Learning (ML) techniques are combined to build more powerful and accurate learning models. Industries and research centers worldwide have been devoting significant efforts to find use cases of practical interest for which QML may be a suitable approach. In this work, one of the most common QML algorithms, namely a Variational Quantum Classifier (VQC), has been adopted for a supervised classification task in defence industry. The goal is to predict the failures that may happen during the final acceptance test of a finished product, based on the knowledge of test data related to its subassemblies. The test data have been collected using advanced IoT systems and the prediction has been made before the final product was assembled, so to improve the efficiency in the testing process. The VQC has been applied to a problem already approached with classical ML techniques, and then the classical and quantum performances have been compared. The results indicate promising performances and highlight the potential of QML algorithms in the industrial sector for predictive analysis use. © 2025 Elsevier B.V.</t>
  </si>
  <si>
    <t xml:space="preserve">Jäger J.; Krems R.V.</t>
  </si>
  <si>
    <t>96</t>
  </si>
  <si>
    <t xml:space="preserve">Machine learning is considered to be one of the most promising applications of quantum computing. Therefore, the search for quantum advantage of the quantum analogues of machine learning models is a key research goal. Here, we show that variational quantum classifiers and support vector machines with quantum kernels can solve a classification problem based on the k-FORRELATION problem, which is known to be PROMISEBQP-complete. Because the PROMISEBQP complexity class includes all Bounded-Error Quantum Polynomial-Time (BQP) decision problems, our results imply that there exists a feature map and a quantum kernel that make variational quantum classifiers and quantum kernel support vector machines efficient solvers for any BQP problem. Hence, this work implies that their feature map and quantum kernel, respectively, can be designed to have a quantum advantage for any classification problem that cannot be classically solved in polynomial time but contrariwise by a quantum computer. © 2023, The Author(s).</t>
  </si>
  <si>
    <t xml:space="preserve">Farhan Ahmad S.; Rawat R.; Moharir M.</t>
  </si>
  <si>
    <t xml:space="preserve">Hybrid Quantum-Classical (HQC) Architectures are used in near-term NISQ Quantum Computers for solving Quantum Machine Learning problems. The quantum advantage comes into picture due to the exponential speedup offered over classical computing. One of the major challenges in implementing such algorithms is the choice of quantum embeddings and the use of a functionally correct quantum variational circuit. In this paper, we present an application of QSVM (Quantum Support Vector Machines) to predict if a person will require mental health treatment in the future the tech world using the dataset from OSMI Mental Health Tech Surveys. We achieve this with non-classically simulable feature maps and prove that NISQ HQC Architectures for Quantum Machine Learning can be used alternatively to create good performance models in near-term real-world applications.  © 2021 IEEE.</t>
  </si>
  <si>
    <t xml:space="preserve">Kim K.H.; Cho J.-K.</t>
  </si>
  <si>
    <t xml:space="preserve">Quantum machine learning offers a novel computational paradigm for biomedical prediction, yet its real-world adoption remains limited by hardware noise and scalability constraints. This study investigates the feasibility, performance, and interpretability of a hybrid quantum neural network (QNN), using a diabetes dataset as a representative benchmark rather than a clinical endpoint. A variational QNN classifier was developed using eight structured predictors from the Pima diabetes dataset. Performance was evaluated on a held-out test set and compared with classical machine learning models, including Logistic Regression, Support Vector Machines, Random Forest, and a Shallow Multilayer Perceptron. Model interpretability was assessed using three complementary strategies. To reflect realistic deployment conditions, noisy execution was simulated, and error-mitigation techniques such as zero-noise extrapolation (ZNE) and readout-error mitigation (REM) were applied. The QNN achieved a test accuracy of 0.732, F1 score of 0.581, and ROC-AUC of 0.833. In stratified cross-validation, the QNN demonstrated the highest mean ROC-AUC (0.840 ± 0.029) and competitive accuracy (0.780 ± 0.022) compared with classical baselines. Feature analyses consistently identified glucose, diabetes-pedigree function, age, and BMI as the most influential predictors. Noisy execution reduced performance (accuracy 0.750 ± 0.021; ROC-AUC 0.820 ± 0.027), but ZNE and REM partially restored accuracy and decision-margin stability. Hybrid QNNs show interpretable learning behavior in simulated quantum execution settings, with observable sensitivity to hardware noise. Ongoing advances in noise-mitigation techniques and hardware scalability may improve the practical reliability of variational quantum models in future quantum machine learning research. © The Korean Physical Society 2026.</t>
  </si>
  <si>
    <t xml:space="preserve">Padha A.; Sahoo A.</t>
  </si>
  <si>
    <t xml:space="preserve">Prolonged stress can negatively impact a person's mental health leading to multiple diseases. Stress monitoring can be efficiently done with the help of artificial intelligence technology combined with the benefits of quantum computing. The main aim of the paper is to analyze quantum enhanced machine learning techniques in predicting the stress of knowledge workers at office through multiple modalities. A general overview of popular quantum enhanced machine learning methods such as Quantum Support Vector Machine (QSVM), Variational Quantum Classifier (VQC) and Quantum K-Nearest Neighbor (QKNN) methods has been presented after studying the literatures of past 10 years. Besides, these models have been implemented on multimodal SWELL-KW dataset, which contains knowledge worker's computer interaction, facial expressions, body postures, heart rate variability and skin conductance data recorded in various working conditions. Further, the impacts of Quantum Principal Component Analysis based feature reduction on their performances have been analyzed. Experimental results show that for the current dataset, QSVM model with PCA on heart rate variability and skin conductance data results in highest accuracy of 0.8.  © 2022 ACM.</t>
  </si>
  <si>
    <t xml:space="preserve">Sathan D.; Baichoo S.</t>
  </si>
  <si>
    <t xml:space="preserve">The need to discover therapeutic compounds has intensified in recent years due to the rise of antibiotic resistance and complexity of modern diseases. The conventional drug discovery pipeline is resource-intensive. The field of drug development has evolved into interdisciplinary science. Several computational techniques have been devised to assist researchers, in the identification of new drugs. These tools often employ machine learning algorithms that are typically executed on classical computing machines. However, recent advancements in the field of quantum computing have offered new possibilities to improve machine learning models. Quantum computing leverages unique quantum-mechanical characteristics to achieve more efficient computations. In this paper, we introduce a framework that utilizes Variational Quantum Classifier (VQC) techniques for the classification of drug-protein interactions, as shown in Figure 1. This approach exploit quantum computing to produce better results than classical computing methods. To validate the efficacy of our proposed framework, we utilized the KIBA dataset to assess the drug-target affinity score. The model was trained at a learning rate of 0.0001 over 500. Through a 3-fold cross-validation, we achieved a concordance index (CI) of 0.802. This performance surpasses that of linear regression technique (kronLRS), which has a concordance index of 0.68 and is comparable to deep learning methods, such as DeepCPI and DeepDTA, which have a CI of 0.86. Notably, standard VQC methods typically attain a CI of approximately 0.75, which is a metric that can be further optimized by adjusting the number of qubits or wires in the circuit.  © 2024 IEEE.</t>
  </si>
  <si>
    <t xml:space="preserve">Sathya S.; Ramasamy M.</t>
  </si>
  <si>
    <t xml:space="preserve">Quantum Computing (QC) works based on the principle of quantum mechanics, which is different from traditional computers. Heart disease remains the leading cause of mortality worldwide and the development of advanced predictive models for early diagnosis is necessary. In this paper, the Support Vector Machine (SVM), Quantum Support Vector Machine (QSVM), and Variational Quantum Classifier (VQC) are used to predict heart disease. Among these algorithms, QSVM and VQC are used for heart disease prediction using QC principles. The SVM and QSVM achieves the accuracy of 80% and 69% and VQC achieves the highest accuracy of 86% with ZFeatureMap and RealAmplitude in 100 iterations. The FeatureMap and Ansatz are used for turning data into quantum states. The VQC employs a parameterized quantum circuit to minimize the classification error and optimization is done using gradient-free COBYLA. In addition to ZFeatureMap, other FeatureMaps like ZZFeatureMap and PauliFeatureMap are also performed in VQC. © 2024 IEEE.</t>
  </si>
  <si>
    <t xml:space="preserve">Suzuki T.; Katouda M.</t>
  </si>
  <si>
    <t xml:space="preserve">In recent years, parameterized quantum circuits have been regarded as machine learning models within the framework of the hybrid quantum-classical approach. Quantum machine learning (QML) has been applied to binary classification problems and unsupervised learning. However, practical quantum application to nonlinear regression tasks has received considerably less attention. Here, we developQMLmodels designed for predicting the toxicity of 221 phenols on the basis of quantitative structure activity relationship. The results suggest that our data encoding enhanced by quantum entanglement provided more expressive power than the previous ones, implying that quantum correlation could be beneficial for the feature map representation of classical data. OurQMLmodels performed significantly better than the multiple linear regression method. Furthermore, our simulations indicate that theQMLmodels were comparable to those obtained using radial basis function networks, while improving the generalization performance. The present study implies that QMLcould be an alternative approach for nonlinear regression tasks such as cheminformatics.  © 2020 The Author(s).</t>
  </si>
  <si>
    <t xml:space="preserve">Salloum H.; Sabbagh K.; Savchuk V.; Lukin R.; Orabi O.; Isangulov M.; Mazzara M.</t>
  </si>
  <si>
    <t xml:space="preserve">The Quantum Annealer built by D-Wave, known as Advantage, is currently the largest quantum computer in the world, featuring a topology called "Pegasus."This groundbreaking system opens new possibilities for solving highly complex problems. The advancement of quantum annealers has spurred experimental demonstrations and intensified research interest, particularly in quantum machine learning. However, the application of quantum annealing in machine learning remains limited due to the lack of conclusive performance evaluations on real-world datasets. There is still no clear consensus on the efficacy of these models in practical scenarios. This work focuses on experimentally evaluating quantum annealing machine learning (QAML) classification methods, specifically Quantum Support Vector Machines (QSVM) and QBoost, on ADMET datasets - one of the most important datasets in the drug discovery domain. We compare QAML with classical machine learning to evaluate their relative performance. This study seeks to address this gap by rigorously comparing the performance of QBoost and QSVM models using ADMET datasets, employing D-Wave's Quantum Annealer. This work provides a comprehensive analysis of the potential and limitations of quantum annealers in quantum machine learning, with a focus on their application to real-world data in the ADMET domain. The findings offer critical insights into the nuanced advantages and challenges of quantum annealers in advancing machine learning methodologies. © 2025 The Authors.</t>
  </si>
  <si>
    <t xml:space="preserve">Pallavi G.; Altalbe A.; Kumar R.P.</t>
  </si>
  <si>
    <t xml:space="preserve">Drug-target interaction (DTI) prediction is a critical task in computational drug discovery, enabling drug repurposing, precise medicine, and large-scale virtual screening. Traditional in-silico methods, such as molecular docking, classical machine learning, and deep learning, have made significant progress in addressing this issue. However, existing approaches are hindered by computational inefficiencies, reliance on manual feature engineering, and struggles to generalize across diverse molecular structures, limiting their molecular capabilities. Recent advancements in Quantum Machine Learning (QML) are paving the way for its practical applications, unlocking unprecedented capabilities in predictive accuracy, scalability, and efficiency by leveraging the unique powers of quantum computing, namely superposition and entanglement. This study proposes QKDTI - Quantum Kernel Drug-Target Interaction, a novel quantum-enhanced framework for DTI prediction. It used Quantum Support Vector Regression (QSVR) with quantum feature mapping that takes into account a quantum feature space for molecular descriptors and allows encoding molecular and protein features, improved predictions of binding affinities. To enhance the model to be more computationally feasible, integration of the Nystrom approximation into the model allows providing an efficient kernel approximation while reducing overhead expenses. QKDTI was evaluated on benchmark datasets - Davis and KIBA, and validated independently on BindingDB. This model achieves 94.21% accuracy on DAVIS, 99.99% on KIBA, and 89.26% on BindingDB, significantly outperforming classical and other quantum models. Further, the statistical tests have been conducted on the compared models to provide the reliability of the results. This indicates that introducing quantum computing into DTI pipeline can revolutionize computational drug discovery by improving predictive accuracy and providing a better generalization over multiple datasets. © The Author(s) 2025.</t>
  </si>
  <si>
    <t xml:space="preserve">Jiang P.; Saydam S.; Ramandi H.L.; Crosky A.; Maghrebi M.</t>
  </si>
  <si>
    <t xml:space="preserve">Quantum-chemical descriptors are powerful predictors of discovering and designing new materials of desired properties. Wave-function-based methods are often employed to calculate quantum-chemical descriptors, which are time consuming. Recently, machine learning models have been used for predicting quantum-chemical descriptors because of their computational advantages. However, it is difficult to generate a proper molecular representation for training. This work reviews recent molecular representation techniques and then employs variational autoencoders to encode Bag-of-Bond molecular representation. The encoded representation reduce the dimensionality of features and extract the essential information through a deep neural network structure. Results on a benchmark dataset show that the deep encoded molecular representation outperforms Bag-of-Bond representations in predicting electronic quantum-chemical descriptors. © 2019, Springer Nature Switzerland AG.</t>
  </si>
  <si>
    <t xml:space="preserve">Reddy P.; Bhattacherjee A.B.</t>
  </si>
  <si>
    <t>23</t>
  </si>
  <si>
    <t xml:space="preserve">Quantum machine learning is a relatively new research field that aims to combine the dramatic performance advantage offered by quantum computing and the ability of machine learning algorithms to learn complex distributions of high-dimensional data. The primary focus of this domain is the implementation of classical machine learning algorithms in the quantum mechanical domain and study of the speedup due to quantum parallelism, which could enable the development of novel techniques for solving problems such as quantum phase recognition and quantum error correction optimization. In this paper, we propose a hybrid quantum machine learning pipeline for predicting the atomization energies of various molecules using the nuclear charges and atomic positions of the constituent atoms. Firstly, we will be using a deep convolutional auto-encoder model for the feature extraction of data constructed from the eigenvalues and eigenvector centralities of the pairwise distance matrix calculated from atomic positions and the unrolled upper triangle of each Coulomb matrix calculated from nuclear charges, and we will then be using a quantum regression algorithm such as quantum linear regression, quantum radial basis function neural network and, a quantum neural network for estimating the atomization energy. The hybrid quantum neural network models do not seem to provide any speedup over their classical counterparts. Before implementing a quantum algorithm, we will also be using state-of-the-art classical machine learning and deep learning models such as XGBoost, multilayer perceptron, deep convolutional neural network, and a long short-term memory network to study the correlation between the extracted features and corresponding atomization energies of molecules.  © 2021 The Author(s).</t>
  </si>
  <si>
    <t xml:space="preserve">Lu M.; Du L.; Cui Z.; Zhao Y.; Yan Q.; Zhao J.; Li Y.; Dou M.; Wang Q.; Wu Y.-C.; Guo G.-P.</t>
  </si>
  <si>
    <t xml:space="preserve">Accurate prediction of molecular properties is crucial for accelerating the development of new drugs, and quantum machine learning (QML) holds great promise in this domain. A typical QML pipeline comprises two core stages: encoding classical data into quantum representations followed by training and prediction using quantum computing-based machine learning (ML) models. In this article, we focus on the initial encoding stage and propose an effective quantum feature extraction approach for molecular graph data, introducing quantum node embedding and quantum edge embedding methods. We developed a hybrid quantum–classical ML framework and implemented several quantum-embedded graph neural network (QEGNN) models to evaluate the proposed method. Experiments conducted on three benchmark data sets with diverse molecular property prediction tasks demonstrate that QEGNN models consistently achieve higher accuracy, improved stability, and significantly reduced parameter complexity─hallmarks of quantum advantage. Furthermore, we validate the reliability of the quantum embedding approach on the superconducting quantum processor “Wukong,” showing that the models retain stable performance even under the constraints of current noisy quantum hardware. This work highlights the potential of QML and paves the way for the development of universal QML models. © 2025 American Chemical Society</t>
  </si>
  <si>
    <t xml:space="preserve">Swain B.; Gountia D.</t>
  </si>
  <si>
    <t xml:space="preserve">Quantum computing can provides better solutions to many complex problems, and thus quantum technology can help to improve machine-learning problems. This chapter discuses about quantum machine learning algorithm for the quantum data like quantum support vector machine (QSVM), quantum principal component analysis (QPCA) and quantum neural network (QNN). For learning from classical data in in the noisy intermediate scale quantum (NISQ) computer, quantum variational classifier with a classical optimizer to train a parameterized quantum circuit is discussed. © 2023 Scrivener Publishing LLC.</t>
  </si>
  <si>
    <t xml:space="preserve">Balabin R.M.; Lomakina E.I.</t>
  </si>
  <si>
    <t>192</t>
  </si>
  <si>
    <t xml:space="preserve">A multilayer feed-forward artificial neural network (MLP-ANN) with a single, hidden layer that contains a finite number of neurons can be regarded as a universal non-linear approximator. Today, the ANN method and linear regression (MLR) model are widely used for quantum chemistry (QC) data analysis (e.g., thermochemistry) to improve their accuracy (e.g., Gaussian G2-G4, B3LYP/B3-LYP, X1, or W1 theoretical methods). In this study, an alternative approach based on support vector machines (SVMs) is used, the least squares support vector machine (LS-SVM) regression. It has been applied to ab initio (first principle) and density functional theory (DFT) quantum chemistry data. So, QC + SVM methodology is an alternative to QC + ANN one. The task of the study was to estimate the Møller-Plesset (MPn) or DFT (B3LYP, BLYP, BMK) energies calculated with large basis sets (e.g., 6-311G(3df,3pd)) using smaller ones (6-311G, 6-311G*, 6-311G**) plus molecular descriptors. A molecular set (BRM-208) containing a total of 208 organic molecules was constructed and used for the LS-SVM training, cross-validation, and testing. MP2, MP3, MP4(DQ), MP4(SDQ), and MP4/MP4(SDTQ) ab initio methods were tested. Hartree-Fock (HF/SCF) results were also reported for comparison. Furthermore, constitutional (CD: total number of atoms and mole fractions of different atoms) and quantum-chemical (QD: HOMO-LUMO gap, dipole moment, average polarizability, and quadrupole moment) molecular descriptors were used for the building of the LS-SVM calibration model. Prediction accuracies (MADs) of 1.62 ± 0.51 and 0.85 ± 0.24 kcal mol-1 (1 kcal mol-1 = 4.184 kJ mol-1) were reached for SVM-based approximations of ab initio and DFT energies, respectively. The LS-SVM model was more accurate than the MLR model. A comparison with the artificial neural network approach shows that the accuracy of the LS-SVM method is similar to the accuracy of ANN. The extrapolation and interpolation results show that LS-SVM is superior by almost an order of magnitude over the ANN method in terms of the stability, generality, and robustness of the final model. The LS-SVM model needs a much smaller numbers of samples (a much smaller sample set) to make accurate prediction results. Potential energy surface (PES) approximations for molecular dynamics (MD) studies are discussed as a promising application for the LS-SVM calibration approach. © the Owner Societies.</t>
  </si>
  <si>
    <t xml:space="preserve">Harjanto A.T.J.; Purnomo H.D.; Hendry</t>
  </si>
  <si>
    <t xml:space="preserve">Quantum Machine Learning (QML) has emerged as a promising paradigm for addressing increasing computational and representational demands in materials informatics. While classical models such as Support Vector Machines (SVM) achieve strong predictive performance, they often struggle to capture complex, highly correlated interactions in high-dimensional materials data. QML addresses this challenge by leveraging quantum-mechanical principles to construct expressive feature embeddings, where prospective quantum advantage lies in generating feature spaces that are difficult to approximate classically. In this study, 1,000 crystalline compounds from the Open Quantum Materials Database (OQMD) are evaluated in a binary classification task based on formation-energy stability. The dataset is normalized, reduced to four dimensions via Principal Component Analysis (PCA), and encoded into quantum circuits. Three QML models—QSVM, VQC, and QNN—are benchmarked against a classical SVM using repeated stratified evaluation. Results show that the classical SVM achieves the highest accuracy (91.8% ± 0.012), followed by QSVM (60.8% ± 0.035), while VQC and QNN perform significantly worse. This gap is driven by limited qubit capacity, encoding inefficiencies, restricted circuit expressivity, and optimization challenges. Nevertheless, QSVM demonstrates stable performance, suggesting that potential quantum advantage may emerge from improved feature encoding and kernel design rather than deeper variational circuits. © 2026 The Author(s).</t>
  </si>
  <si>
    <t xml:space="preserve">Sheoran S.K.; Yadav V.; Sheoran R.K.</t>
  </si>
  <si>
    <t xml:space="preserve">Quantum machine learning (QML) has emerged as a promising paradigm for solving complex classification problems by leveraging the computational advantages of quantum systems. While most traditional machine learning models focus on clean, balanced datasets, real-world data is often noisy, imbalanced and high-dimensional, posing significant challenges for scalability and generalisation. This paper conducts an extensive experimental evaluation of five supervised classifiers- Decision Tree, K nearest neighbour, Random Forest, linear regression and support vector machines in comparison with Quantum machine learning classifiers- quantum Support vector machine, quantum k- nearest neighbor and variational quantum classifier—across five diverse datasets, including iris, wine quality, Breast cancer, UCI human activity recognition, and Pima diabetes. To simulate real-world challenges, we introduce class imbalance using SMOTE and ADASYN Sampling, inject Gaussian noise into the features, and assess the impact of dimensionality reduction through ANOVA-based feature selection. Additionally, we utilise explainable AI tools, such as SHAP and LIME, to interpret model decisions. Our results demonstrate that Logistic Regression consistently performs well under various complexities, while Quantum Support Vector Machines show resilience to feature noise and class imbalance. The study also highlights the current capabilities and limitations of QML models, offering valuable insights into building generalisable and interpretable ML systems for deployment in complex environments. These insights are crucial for building robust, interpretable, and generalisable ML models for practical deployment. © The Author(s) 2025.</t>
  </si>
  <si>
    <t xml:space="preserve">Suzuki T.; Hasebe T.; Miyazaki T.</t>
  </si>
  <si>
    <t xml:space="preserve">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 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 circuit simulations. The result is consistent with the analysis of our device noise simulations with varying qubit gate error rates. For the regression tasks, applying a low-rank approximation to the noisy quantum kernel, in combination with hyperparameter tuning in ε-SVR, improved the performance of the QSVR models on the near-term quantum device. The alignment, as measured by the Frobenius inner product between the noiseless and noisy quantum kernels, can serve as an indicator of the relative prediction performance on noisy quantum devices in comparison with their ideal counterparts. Our results suggest that the quantum kernel, as described by our shallow quantum circuit, can be effectively used for both QSVC and QSVR tasks, indicating its resistance to noise and its adaptability to various datasets. © The Author(s) 2024.</t>
  </si>
  <si>
    <t xml:space="preserve">Darwish S.M.</t>
  </si>
  <si>
    <t xml:space="preserve">Cheminformatics plays a vital role to maintain a large amount of chemical data. A reliable prediction of toxic effects of chemicals in living systems is highly desirable in domains such as cosmetics, drug design, food safety, and manufacturing chemical compounds. Toxicity prediction topic requires several new approaches for knowledge discovery from data to paradigm composite associations between the modules of the chemical compound; such techniques need more computational cost as the number of chemical compounds increases. State-of-the-art prediction methods such as neural network and multi-layer regression that requires either tuning parameters or complex transformations of predictor or outcome variables are not achieving high accuracy results. This paper proposes a Quantum Inspired Genetic Programming “QIGP” model to improve the prediction accuracy. Genetic Programming is utilized to give a linear equation for calculating toxicity degree more accurately. Quantum computing is employed to improve the selection of the best-of-run individuals and handles parsimony pressure to reduce the complexity of the solutions. The results of the internal validation analysis indicated that the QIGP model has the better goodness of fit statistics and significantly outperforms the Neural Network model. © 2017 International Journal of Artificial Intelegence Research. All rights reserved.</t>
  </si>
  <si>
    <t xml:space="preserve">Liu H.X.; Zhang R.S.; Yao X.J.; Liu M.C.; Hu Z.D.; Fan B.T.</t>
  </si>
  <si>
    <t>89</t>
  </si>
  <si>
    <t xml:space="preserve">The support vector machine, as a novel type of learning machine, for the first time, was used to develop a QSAR model of 57 analogues of ethyl 2-[(3-methyl-2,5-dioxo(3-pyrrolinyl))amino]-4-(trifluoromethyl)pyrimidine-5-carb oxylate (EPC), an inhibitor of AP-1 and NF-/κB mediated gene expression, based on calculated quantum chemical parameters. The quantum chemical parameters involved in the model are Kier and Hall index (order3) (KHI3), Information content (order 0) (ICO), YZ Shadow (YZS) and Max partial charge for an N atom (MaxPCN), Min partial charge for an N atom (MinPCN). The mean relative error of the training set, the validation set, and the testing set is 1.35%, 1.52%, and 2.23%, respectively, and the maximum relative error is less than 5.00%.</t>
  </si>
  <si>
    <t xml:space="preserve">Shah M.R.; Sarraf J.; Pattnaik P.K.</t>
  </si>
  <si>
    <t xml:space="preserve">Quantum computing shows promise for transformative innovation across various fields, including machine learning and health care. This research evaluates quantum machine-learning (QML) models, specifically quantum neural networks (QNNs) and quantum support vector machines (QSVMs), alongside their classical counterparts, traditional neural networks (TNNs), and support vector machines (SVMs), using the breast cancer dataset. The dataset is widely used for cancer diagnosis, making it a crucial test case for assessing quantum computing’s capabilities in health care. The study provides a comprehensive overview of quantum computing, QNNs, QSVMs, TNNs, and SVMs, exploring their advantages and limitations. Our methodology involves implementing and comparing these models based on precision, recall, F1-score, and accuracy metrics. The research illuminates the applications of quantum computing in machine learning and health care, suggesting avenues for future research such as advanced quantum algorithms, hyperparameter optimization, and hybrid quantum-classical approaches. These directions can enhance QML’s performance, applicability, and facilitate transformative advancements in health care. © The Author(s), under exclusive license to Springer Nature Singapore Pte Ltd. 2024.</t>
  </si>
  <si>
    <t xml:space="preserve">Farooq O.; Shahid M.; Arshad S.; Altaf A.; Iqbal F.; Vera Y.A.M.; Flores M.A.L.; Ashraf I.</t>
  </si>
  <si>
    <t xml:space="preserve">The essence of quantum machine learning is to optimize problem-solving by executing machine learning algorithms on quantum computers and exploiting potent laws such as superposition and entanglement. Support vector machine (SVM) is widely recognized as one of the most effective classification machine learning techniques currently available. Since, in conventional systems, the SVM kernel technique tends to sluggish down and even fail as datasets become increasingly complex or jumbled. To compare the execution time and accuracy of conventional SVM classification to that of quantum SVM classification, the appropriate quantum features for mapping need to be selected. As the dataset grows complex, the importance of selecting an appropriate feature map that outperforms or performs as well as the classification grows. This paper utilizes conventional SVM to select an optimal feature map and benchmark dataset for predicting air quality. Experimental evidence demonstrates that the precision of quantum SVM surpasses that of classical SVM for air quality assessment. Using quantum labs from IBM’s quantum computer cloud, conventional and quantum computing have been compared. When applied to the same dataset, the conventional SVM achieved an accuracy of 91% and 87% respectively, whereas the quantum SVM demonstrated an accuracy of 97% and 94% respectively for air quality prediction. The study introduces the use of quantum Support Vector Machines (SVM) for predicting air quality. It emphasizes the novel method of choosing the best quantum feature maps. Through the utilization of quantum-enhanced feature mapping, our objective is to exceed the constraints of classical SVM and achieve unparalleled levels of precision and effectiveness. We conduct precise experiments utilizing IBM’s state-of-the-art quantum computer cloud to compare the performance of conventional and quantum SVM algorithms on a shared dataset. © The Author(s) 2024.</t>
  </si>
  <si>
    <t xml:space="preserve">Choppara P.; Lokesh B.</t>
  </si>
  <si>
    <t xml:space="preserve">This paper focuses on quantum machine learning (quantum SVM) modeling for the identification of compound-protein interactions (CPIs) crucial in drug discovery and pharmacology. Estimation of various CPIs is one of the prerequisites for selecting potential drugs, improving the activity of lead compounds and studying the toxic effects of drugs. The quantum SVM model introduced above provides higher accuracy and better processing time compared to the quantum computing principles of q-features, q-kernels and classical models. In testing the model, two different datasets were used, a human dataset with 1,052 compounds and 852 proteins from twenty-one different categories and a C. elegans dataset with 1,434 compounds and 2,504 proteins from twenty-one different categories. Quantum SVM is characterized against three traditional machine learning algorithms, among the algorithms of supervised learning, K-Nearest Neighbors (KNN), Random Forest (RF) and Classical Support Vector Machine (SVM) are the most used algorithms. In tuning the decision model, evaluation criteria such as area under the curve (AUC), precision and recall were applied. It can be observed from the results reported in this study that quantum SVM gives better performance when compared to traditional models in terms of performance indices on both datasets. In particular, quantum SVM yielded the highest AUC values (0. 923 for the human dataset and 0. 927 for the C. elegans dataset), meaning a higher ability to rank true interacted compound-protein pairs compared to false positives. Furthermore, quantum SVM has better precision and recall, which can reduce the number of false positives and increase the number of correct interactions required for effective drug candidate identification and cost reduction in experimental validation.  © 2024 IEEE.</t>
  </si>
  <si>
    <t xml:space="preserve">Zhang R.; Yuan R.; Tian B.</t>
  </si>
  <si>
    <t xml:space="preserve">Predicting quantum chemical properties is a fundamental challenge for computational chemistry. While the development of graph neural networks has advanced molecular representation learning and property prediction, their performance could be further enhanced by incorporating three-dimensional (3D) structural geometry into two-dimensional (2D) molecular graph representation. In this study, we introduce the PointGAT model for quantum molecular property prediction, which integrates 3D molecular coordinates with graph-attention modeling. Comparison with other current models in molecular prediction tasks showed that PointGAT could provide higher predictive accuracy in various benchmark data sets from MoleculeNet, including ESOL, FreeSolv, Lipop, HIV, and 6 out of 12 tasks of the QM9 data set. To further examine PointGAT prediction of quantum mechanical (QM) energies, we constructed a C10 data set comprising 11,841 charged and chiral carbocation intermediates with QM energies calculated at the DM21/6-31G*//B3LYP/6-31G* levels. Notably, PointGAT achieved an R2 value of 0.950 and an MAE of 1.616 kcal/mol, outperforming even the best-performing graph neural network model with a reduction of 0.216 kcal/mol in MAE and an improvement of 0.050 in R2. Additional ablation studies indicated that incorporating molecular geometry into the model resulted in markedly higher predictive accuracy, reducing the MAE value from 1.802 to 1.616 kcal/mol. Moreover, visualization of PointGAT atomic attention weights suggested its predictions were interpretable. Findings in this study support the application of PointGAT as a powerful and versatile tool for quantum chemical property prediction that can facilitate high-accuracy modeling for fundamental exploration of chemical space as well as drug design and molecular engineering. © 2024 American Chemical Society.</t>
  </si>
  <si>
    <t xml:space="preserve">Zhou X.; Yu J.; Tan J.; Jiang T.</t>
  </si>
  <si>
    <t xml:space="preserve">Quantum machine learning endeavors to exploit quantum mechanical effects like superposition, entanglement, and interference to enhance the capabilities of classical machine learning methods. One of the most researched quantum machine learning methodologies presently is the quantum support vector machine (QSVM). Researchers have now developed quantum support vector classifiers and substantiated their potential for accelerating computation and enhancing classification accuracy in practical contexts through experimentation. Nevertheless, the utility of QSVM in regression tasks remains a relatively uncharted territory. In light of this, we introduce a quantum kernel estimation-based quantum support vector regression (QKE-QSVR) model for completing regression tasks. Within this proposed model, classical inputs are encoded as quantum feature vectors using the designed quantum feature map circuit with a variable parameter. The inner product between quantum feature vectors give rise to a trainable quantum kernel, which is subject to optimization through our proposed quantum kernel alignment-based regression (QKAR) algorithm, thereby bolstering the model's predictive accuracy when applied to a specific dataset. Subsequently, the trained quantum kernel is incorporated into the classical support vector regression process to construct the decision function and provide predictions for new data points. In this study, we validate the efficacy of the proposed model using three illustrative examples. Experimental findings underscore that, in comparison to the classical support vector machine model, our proposed model demonstrates superior predictive accuracy. © 2024, The Author(s), under exclusive licence to Springer Science+Business Media, LLC, part of Springer Nature.</t>
  </si>
  <si>
    <t xml:space="preserve">Author Keywords</t>
  </si>
  <si>
    <t xml:space="preserve">Index Keywords</t>
  </si>
  <si>
    <t xml:space="preserve">Acute contact toxicity; ANN-based equation; Bees; Domain applicability; Pesticides; Prediction</t>
  </si>
  <si>
    <t xml:space="preserve">Animals; Bees; Ecotoxicology; Lethal Dose 50; Models, Biological; Pesticides; Quantitative Structure-Activity Relationship; Reproducibility of Results; Risk Assessment; Apis mellifera; Apoidea; pesticide; bee; economic conditions; environmental modeling; environmental protection; OECD; pesticide; pesticide application; plant; risk assessment; toxicity; wild population; animal; bee; biological model; classification; drug effect; ecotoxicology; LD50; procedures; quantitative structure activity relation; reproducibility; risk assessment</t>
  </si>
  <si>
    <t xml:space="preserve">In silico; Machine learning; Physicochemical characteristics</t>
  </si>
  <si>
    <t xml:space="preserve">Deep learning; Learning systems; Prediction models; Toxicity; Transfer learning; Chemical safety; Drug development; In-silico; Integrating machines; Learning data; Machine-learning; Molecular data; Physicochemical characteristics; Prediction modelling; Toxicity predictions; Forecasting</t>
  </si>
  <si>
    <t xml:space="preserve">Cytotoxicity; Ionic liquids; Leukemia rat cell line (IPC-81); Machine learning; QSPR/QSAR and principal properties</t>
  </si>
  <si>
    <t xml:space="preserve">Adaptive boosting; Cell culture; Computational chemistry; Computational efficiency; Diseases; Feature Selection; Forecasting; Forestry; Ionic liquids; Learning systems; Statistical tests; Support vector machines; ionic liquid; Cell lines; Features selection; Leukemia rat cell line (IPC-81); Machine learning models; Machine-learning; Property; QSPR/QSAR and principal property; Rat cells; Selection techniques; Toxicity predictions; animal cell; animal experiment; Article; controlled study; cytotoxicity; decision tree; EC50; hydrophilicity; LT12 cell line; machine learning; nonhuman; physical chemistry; prediction; quantitative structure activity relation; quantitative structure property relation; random forest; rat; support vector machine; toxicity; validation process; Cytotoxicity</t>
  </si>
  <si>
    <t xml:space="preserve">descriptors; insecticides; lipophilicity; Mt-QSAR; risk assessment; toxicology</t>
  </si>
  <si>
    <t xml:space="preserve">Animals; Insecticides; Mammals; Quantitative Structure-Activity Relationship; insecticide; octanol; animal experiment; Article; back propagation neural network; bird; controlled study; environmental impact; LD50; Levenberg Marquardt algorithm; mammal; nonhuman; partition coefficient; prediction; principal component analysis; quantitative structure activity relation; rat; risk assessment; animal</t>
  </si>
  <si>
    <t xml:space="preserve">Advanced nanomaterials; Mixture toxicity; Nanotoxicity; Neural network; Support vector machine</t>
  </si>
  <si>
    <t xml:space="preserve">Escherichia coli; Machine Learning; Metal Nanoparticles; Neural Networks, Computer; Oxides; Quantitative Structure-Activity Relationship; Binary mixtures; Computational chemistry; Enthalpy; Escherichia coli; Forecasting; Learning systems; Nanoparticles; Neural networks; Risk assessment; Toxicity; copper oxide nanoparticle; Engineered nanoparticle; nanoparticle; unclassified drug; zinc oxide; zinc oxide nanoparticle; metal nanoparticle; oxide; Advanced nanomaterial; Combined toxicity; Engineered nanoparticles; Machine-learning; Mixture toxicity; Nanotoxicity; Neural-networks; Prediction methods; Quantitative structure-activity relationship modeling; Support vectors machine; artificial neural network; experimental study; nanoparticle; prediction; support vector machine; toxicity; Article; computer model; cytotoxicity; Escherichia coli; human; machine learning; nonhuman; optical density; physical chemistry; prediction; quantitative structure activity relation; support vector machine; toxicity; training; zeta potential; artificial neural network; Escherichia coli; machine learning; Support vector machines</t>
  </si>
  <si>
    <t xml:space="preserve">Ecotoxicology; Risk assessment; Toxic mechanism; Weight-of-evidence</t>
  </si>
  <si>
    <t xml:space="preserve">Animals; Bees; Fungicides, Industrial; Imidazoles; Insecticides; Oxidative Stress; Pyridines; Sulfur Compounds; fungicide; imidazole derivative; insecticide; prochloraz; pyridine derivative; sulfoxaflor; sulfur derivative; animal; bee; drug effect; enzymology; genetics; oxidative stress</t>
  </si>
  <si>
    <t xml:space="preserve">Adverse outcome pathways; Eco-safety risk; Graph attention network; Honeybee toxicity; Online platform</t>
  </si>
  <si>
    <t xml:space="preserve">Agrochemicals; Animals; Artificial Intelligence; Bees; Pesticides; Support Vector Machine; Agricultural chemicals; Forecasting; Pesticides; Risk assessment; Risk management; Support vector machines; acaricide; fungicide; herbicide; insecticide; neonicotinoid; pesticide; agricultural chemical; Adverse outcome pathway; Adverse outcomes; Eco-safety risk; Evaluation strategies; Graph attention network; Honeybee toxicity; Mode of action; Multi-dimensional evaluations; Online platforms; Safety risks; accuracy assessment; agrochemical; artificial intelligence; artificial neural network; honeybee; pesticide; prediction; safety; support vector machine; toxicity; adverse outcome pathway; Apis mellifera; Article; artificial intelligence; artificial neural network; BeeMSAI; chemical structure; controlled study; data analysis; discriminant analysis; experimental toxicity; graph attention network; intermethod comparison; machine learning; nonhuman; predictive model; structure analysis; support vector machine; toxicity testing; animal; bee; chemistry; drug effect; Toxicity</t>
  </si>
  <si>
    <t xml:space="preserve">Computational chemistry; Computational methods; Data mining; Iron oxides; Machine learning; Magnetic nanoparticles; Magnetic resonance imaging; Metal nanoparticles; Molecular graphics; Physicochemical properties; Stem cells; Superparamagnetism; Toxicity; Attribute importance; Biomedical properties; Computational tools; Machine learning techniques; Magnetic resonance imaging contrast agents; Quantitative structure activity relationship; Superparamagnetic iron oxide nanoparticles; Toxicological properties; Data curation</t>
  </si>
  <si>
    <t xml:space="preserve">K-Nearest Neighbor; Neural Networks; Pollutants; Random Forest; Support Vector Machine; Toxicity</t>
  </si>
  <si>
    <t xml:space="preserve">Aquatic ecosystems; Biodiversity; Biohazards; Health risks; Learning systems; Nearest neighbor search; Random forests; Risk assessment; Ecosystem health; Environmental pollutants; Growth and development; Hazardous pollutants; K-near neighbor; Nearest-neighbour; Neural-networks; Pollutant; Random forests; Support vectors machine; Neural networks; Support vector machines; Toxicity</t>
  </si>
  <si>
    <t xml:space="preserve">AIST-MeRAM; Chemical substance clustering; ECOSAR; Ecotoxicity prediction; Graph theory; Machine learning</t>
  </si>
  <si>
    <t xml:space="preserve">Animals; Computer Simulation; Daphnia; Ecotoxicology; Fishes; Linear Models; Machine Learning; Models, Theoretical; Quantitative Structure-Activity Relationship; Risk Assessment; Software; Water Pollutants, Chemical; Water Pollution, Chemical; algae; Daphniidae; Computational chemistry; Ecology; Forecasting; Information management; Ionization; Large dataset; Learning systems; Machine learning; Regression analysis; Risk assessment; Software testing; Statistical tests; Structures (built objects); Toxicity; chemical compound; AIST-MeRAM; Chemical substance; Ecological risk assessment; ECOSAR; Ecotoxicity; Machine learning techniques; Quantitative structure-activity relationships; Unsupervised machine learning; accuracy assessment; chemical pollutant; chemical substance; cluster analysis; data set; ecotoxicology; graphical method; machine learning; prediction; accuracy; acute toxicity; alga; Article; computer model; Daphnia; ecotoxicity; fish; intermethod comparison; machine learning; nonhuman; predictive value; quantitative structure activity relation; risk assessment; theoretical model; unsupervised machine learning; animal; chemistry; computer simulation; drug effect; ecotoxicology; procedures; software; statistical model; theoretical model; toxicity; water pollutant; water pollution; Graph theory</t>
  </si>
  <si>
    <t xml:space="preserve">Ames test; Classification; deep neural networks; feature generation; mutagenicity</t>
  </si>
  <si>
    <t xml:space="preserve">Deep Learning; Models, Chemical; Mutagens; Neural Networks, Computer; Quantitative Structure-Activity Relationship; Computational chemistry; Molecular graphics; Recurrent neural networks; Statistical tests; mutagenic agent; Ames test; Chemical toxicity; Feature generation; In-silico; In-vitro; In-vivo; Multi-disciplinary process; Mutagenicity; Neural-networks; QSAR model; chemical model; chemistry; quantitative structure activity relation; Deep neural networks</t>
  </si>
  <si>
    <t xml:space="preserve">Deep learning; Endocrine disrupting chemicals; Machine-learning; Nuclear receptor signaling pathways; QSAR; Stress response signaling pathways; Tox21</t>
  </si>
  <si>
    <t xml:space="preserve">CORAL software; Honey bees; Mixtures toxicity; Monte Carlo method; Quantitative structure–activity relationship</t>
  </si>
  <si>
    <t xml:space="preserve">Animals; Bees; Environmental Pollutants; Quantitative Structure-Activity Relationship; Reproducibility of Results; Toxicity Tests, Acute; Apis; Apis mellifera; Apoidea; Chemicals; Computational chemistry; Food products; Forecasting; Molecular graphics; Monte Carlo methods; Regression analysis; Toxicity; Coral softwares; Correlation coefficient; Honey bee; Monte Carlo techniques; Plant protection products; Quantitative structure-activity relationships; Quantitative structures; Reliability and robustness; honeybee; Monte Carlo analysis; prediction; quantitative analysis; regression analysis; software; toxicity test; article; coral; correlation coefficient; dose response; drug mixture; extraction; facial expression; honeybee; LD50; major clinical study; Monte Carlo method; nonhuman; quantitative structure activity relation; reliability; sensitivity and specificity; software; animal; bee; pollutant; reproducibility; toxicity; toxicity testing; Binary mixtures</t>
  </si>
  <si>
    <t xml:space="preserve">Honeybee flight activity; Neurotoxic pesticides; Recurrent neural network; Toxicovigilance</t>
  </si>
  <si>
    <t xml:space="preserve">accuracy assessment; automation; classification; flight activity; honeybee; pesticide; toxicity</t>
  </si>
  <si>
    <t xml:space="preserve">deep learning; ensemble model; hepatotoxicity; machine learning; molecular fingerprints</t>
  </si>
  <si>
    <t xml:space="preserve">accuracy; area under the curve; Article; benchmarking; classifier; cost; deep learning; drug development; human; liver injury; liver toxicity; machine learning; molecular fingerprinting; prediction; reliability; risk; systematic review; training</t>
  </si>
  <si>
    <t xml:space="preserve">Density functional theory; Ecological risk assessment; Machine learning; Organic toxicity; QSAR</t>
  </si>
  <si>
    <t xml:space="preserve">Computational chemistry; Design for testability; Dipole moment; Ecosystems; Entropy; Learning systems; Machine learning; Molecular graphics; Silt; Soil moisture; Soil pollution; Soil testing; Toxicity; %moisture; Density-functional-theory; Ecological risk assessment; Ecotoxicity; Hybrid model; Machine-learning; Organic toxicity; Organics; QSAR; Species sensitivity distributions; Density functional theory</t>
  </si>
  <si>
    <t xml:space="preserve">Biomonitoring; Environmental pollution; Health risk assessment; Honey; Machine learning; Organic pollutants</t>
  </si>
  <si>
    <t xml:space="preserve">Biochemistry; Environmental monitoring; Food products; Health hazards; Health risks; Learning systems; Machine learning; Pollution detection; Risk assessment; Water pollution; Biomonitoring; Environmental pollutions; Health risk assessments; Honey; Machine-learning; Non-targeted; Organics; Pakistan; Risk indices; Targeted screenings; Organic pollutants</t>
  </si>
  <si>
    <t xml:space="preserve">Biomarkers; Cadmium; Fungicides; Honeybees; IBR index; Sublethal effects</t>
  </si>
  <si>
    <t xml:space="preserve">Animals; Bees; Biomarkers; Fungicides, Industrial; Metals, Heavy; Mutagenicity Tests; Toxicity Tests; Animalia; Apidae; Apis mellifera; Apoidea; Hymenoptera; acetylcholinesterase; alkaline phosphatase; biological marker; cadmium; carboxylesterase; fungicide; glutathione; lysozyme; biological marker; fungicide; heavy metal; biomarker; cadmium; ecotoxicology; fungicide; honeybee; pollution effect; sublethal effect; toxicity; Apis mellifera; Article; blood cell; controlled study; ecotoxicology; environmental monitoring; environmental parameters; genotoxicity assay; granulocyte; Integrated Biological Index; neurotoxicity; nonhuman; sublethal concentration; animal; bee; drug effect; mutagen testing; procedures; toxicity testing</t>
  </si>
  <si>
    <t xml:space="preserve">Honey bees; honeycomb; pesticides; poisoning; Spinosad</t>
  </si>
  <si>
    <t xml:space="preserve">machine and deep learning; multi-endpoint toxicity prediction; multi-modality consensus; QSAR; SHAP XAI</t>
  </si>
  <si>
    <t xml:space="preserve">Animals; Deep Learning; Endpoint Determination; Humans; Machine Learning; Predictive Learning Models; Quantitative Structure-Activity Relationship; Reproducibility of Results; Toxicity Tests; chemical compound; algorithm; allergy; Article; cardiotoxicity; cholestasis; computer language; controlled study; cross validation; deep learning; deep neural network; developmental toxicity; drug-induced liver injury; explainable artificial intelligence; extreme gradient boosting; human; injury; liver cell damage; liver toxicity; local lymph node assay; lung toxicity; machine learning; nephrotoxicity; neurotoxicity; physical chemistry; quantitative analysis; quantitative structure activity relation; random forest; receiver operating characteristic; Shapley additive explanation; skin sensitization; support vector machine; toxicity testing; animal; bioassay; deep learning; machine learning; predictive learning (machine learning); procedures; reproducibility</t>
  </si>
  <si>
    <t xml:space="preserve">Africanized honey bee; Botanical insecticide; Non-target insects; Pollinators</t>
  </si>
  <si>
    <t xml:space="preserve">Agrochemistry; Chemoinformatics; Machine learning; Molecular fingerprints; Molecular property prediction</t>
  </si>
  <si>
    <t xml:space="preserve">Animals; Bees; Machine Learning; Pesticides; Toxicity Tests; agricultural chemical; pesticide; pesticide; agrochemical; algorithm; comparative study; data set; honeybee; machine learning; modeling; pesticide; pollinator; prediction; toxicity; algorithm; animal experiment; Apis mellifera; Article; artificial intelligence; chemical structure; cheminformatics; cross validation; environment; graph neural network; high throughput screening; honeybee; hydrogen bond; knowledge; machine learning; medicinal chemistry; molecular fingerprinting; multilayer perceptron; neighborhood; nonhuman; pharmacokinetics; physical chemistry; prediction; toxicity; animal; bee; drug effect; procedures; toxicity testing</t>
  </si>
  <si>
    <t xml:space="preserve">Acute contact toxicity; Honey bees; In silico models; k-NN; Pesticides</t>
  </si>
  <si>
    <t xml:space="preserve">Animals; Bees; Chromatography, Gas; Cluster Analysis; Lethal Dose 50; Models, Theoretical; Pesticides; Pollination; Quantitative Structure-Activity Relationship; Risk Assessment; Animalia; Apis mellifera; Apoidea; Bombus (genus); Computational chemistry; Ecology; Food products; Forecasting; Motion compensation; Nearest neighbor search; Pesticides; Toxicity; pesticide; toxic substance; pesticide; Contact toxicities; Ecological risk assessment; Honey bee; In-silico models; Plant protection products; Quantitative structure-activity relationships; Research communities; Target and non targets; computer simulation; ecosystem service; ecotoxicology; environmental risk; honeybee; pesticide residue; physicochemical property; prediction; software; toxicity; accuracy; acute contact toxicity; acute toxicity; algorithm; Apis mellifera; Article; chemical structure; chronic toxicity; k nearest neighbor; LD50; nonhuman; quantitative structure activity relation; risk assessment; toxicity testing; animal; bee; cluster analysis; drug effects; gas chromatography; physiology; pollination; theoretical model; Risk assessment</t>
  </si>
  <si>
    <t xml:space="preserve">acute contact toxicity; agrochemicals; artificial intelligence; cheminformatics; ecotoxicology; honey bee; machine learning; new approach methodologies; pesticide; pollinator; QSAR; sustainability</t>
  </si>
  <si>
    <t xml:space="preserve">Agrochemicals; Animals; Bees; Computer Simulation; Quantitative Structure-Activity Relationship; Crop protection; agricultural chemical; Acute contact toxicity; Cheminformatics; Contact toxicities; Eco-toxicology; Honey bee; Machine-learning; New approach methodology; New approaches; Pollinator; Quantitative structure activity relationship; animal; bee; chemistry; computer simulation; drug effect; quantitative structure activity relation; Sugar beets</t>
  </si>
  <si>
    <t xml:space="preserve">Aquatic toxicity; Computational Modeling; Deep learning; Machine learning; Mathematical Methods</t>
  </si>
  <si>
    <t xml:space="preserve">Algorithms; Aquatic Organisms; Deep Learning; Environmental Monitoring; Machine Learning; Neural Networks, Computer; Organic Chemicals; Toxicity Tests; Water Pollutants, Chemical; organic compound; organic compound; algorithm; aquatic ecosystem; integrated approach; machine learning; modeling; optimization; organic compound; prediction; toxicity; animal experiment; animal tissue; area under the curve; Article; computer model; controlled study; cross validation; deep learning; diagnostic test accuracy study; entropy; k nearest neighbor; learning algorithm; machine learning; mathematical analysis; nonhuman; prediction; random forest; receiver operating characteristic; Shapley additive explanation; support vector machine; toxicity; algorithm; aquatic species; artificial neural network; drug effect; environmental monitoring; procedures; toxicity; toxicity testing; water pollutant</t>
  </si>
  <si>
    <t xml:space="preserve">Animals; Bees; Pesticides; Support Vector Machine; Food products; Molecules; Pesticides; Random processes; Statistical tests; Toxicity; Vectors; pesticide; Access system; Crop yield; Features vector; Graph kernels; Honey bee; Molecular graphs; Random Walk; Subgraphs; Support vectors machine; Yield quality; animal; bee; support vector machine; Support vector machines</t>
  </si>
  <si>
    <t xml:space="preserve">Artificial neural network; Ecotoxic; Fragment; Multi-scale; Pesticides; QSAR</t>
  </si>
  <si>
    <t xml:space="preserve">pesticide; artificial neural network; chemical structure; computer model; data base; ecotoxicity; ecotoxicology; effective concentration; indicator organism; lethal concentration; lethal dose; nonhuman; physical chemistry; practice guideline; prediction; priority journal; quantitative structure activity relation; statistical analysis</t>
  </si>
  <si>
    <t xml:space="preserve">Biomarkers; Climatic variations; Honey bee; Sublethal effects</t>
  </si>
  <si>
    <t xml:space="preserve">Animals; Bees; Biomarkers; Environmental Monitoring; Glutathione Transferase; Italy; Stress, Physiological; Italy; Tuscany; Anthropogenic; Climate change; Crops; Food products; Forestry; Land use; Physiological models; Physiology; Urban growth; acetylcholinesterase; alkaline phosphatase; biological marker; carboxylesterase; glutathione transferase; lysozyme; rain; biological marker; glutathione transferase; Apis mellifera; Biomarker assessment; Climatic variation; Ecotoxicological; Environmental stress; Honey bee; Multiple stressors; Naturality; Sublethal effects; Tuscany italy; aphid; biomarker; climate change; climate variation; detoxification; disturbance; environmental stress; genotoxicity; honeybee; invasive species; land use change; sublethal effect; adult; animal tissue; Apis mellifera; Article; berry; biological monitoring; blood cell count; climate change; clover; comparative study; controlled study; detoxification; ecotoxicology; environmental factor; environmental health; environmental monitoring; environmental stress; environmental temperature; enzyme activity; field study; genotoxicity; granulocyte count; high temperature; human impact (environment); immune response; Italy; land use; metabolism; neurotoxicity; nonhuman; olive; orchard; plasma cell; rural area; urban area; vineyard; wheat; wood; animal; bee; environmental monitoring; physiological stress; physiology; procedures; Biomarkers</t>
  </si>
  <si>
    <t xml:space="preserve">Convolutional Neural Networks (CNN); Dragonfly-Support Vector Machine (DA-SVM); Fish oncorhynchus mykiss; Pesticides acute oral toxicity; Quantitative Structure-Activity Relationship (QSAR)</t>
  </si>
  <si>
    <t xml:space="preserve">clustering; cytotoxicity; in silico; machine learning; nanomaterials; QSAR</t>
  </si>
  <si>
    <t xml:space="preserve">acute oral toxicity; high-throughput prediction; LCA; machine learning; q-RASAR; QSAR</t>
  </si>
  <si>
    <t xml:space="preserve">Artificial life; Deep learning; Drug discovery; Drug products; Ecodesign; Environmental impact; Forecasting; Learning algorithms; Life cycle; Scaffolds; Sustainable development; Throughput; Toxicity; Acute oral toxicity; Animal testing; Drug discovery; High-throughput; High-throughput prediction; LCA; Life cycle thinking; Machine-learning; Q-RASAR; Quantitative structure activity relationship; Learning systems</t>
  </si>
  <si>
    <t xml:space="preserve">Algorithms; Drug Discovery; Liver; Neural Networks, Computer; Convolutional neural networks; Deep learning; Forecasting; Toxicity; Chemical features; Drug candidates; Environmental chemicals; Hungry algorithms; Pharmaceutical chemistry; Practical solutions; Proof of concept; Toxicity predictions; algorithm; drug development; liver; Deep neural networks</t>
  </si>
  <si>
    <t xml:space="preserve">Apis mellifera; Graph neural networks; QSAR; SMILES-based graph representation; Toxicity prediction</t>
  </si>
  <si>
    <t xml:space="preserve">Animals; Bees; Environmental Pollutants; Graph Neural Networks; Quantitative Structure-Activity Relationship; Risk Assessment; Toxicity Tests; cholinesterase inhibitor; organic compound; organophosphate; artificial neural network; bee; correlation; ecotoxicology; matrix; numerical model; prediction; toxicity; accuracy; Apis mellifera; area under the curve; Article; bioaccumulation; correlation coefficient; cross validation; ecotoxicology; environmental risk; environmental sustainability; generative artificial intelligence; graph neural network; nonhuman; prediction; quantitative structure activity relation; receiver operating characteristic; safety; toxicity; animal; bee; drug effect; graph neural network; pollutant; procedures; risk assessment; toxicity; toxicity testing</t>
  </si>
  <si>
    <t xml:space="preserve">Artificial intelligence; Ecotoxicology; Physiological response; Pollinators; Risk assessment</t>
  </si>
  <si>
    <t xml:space="preserve">Agrochemicals; Animals; Artificial Intelligence; Bees; Insecticides; Machine Learning; Mass Gatherings; Neonicotinoids; Nitro Compounds; Hexapoda; Melipona quadrifasciata; Meliponinae; Varanidae; Agricultural chemicals; Health risks; Herbicides; Insecticides; Machine learning; Physiological models; Physiology; Proteins; agricultural chemical; cell protein; glyphosate; herbicide; imidacloprid; insecticide; neonicotinoid; insecticide; nitro derivative; Eco-toxicology; Imidacloprids; Machine learning algorithms; Multiple factors; Multivariate data; Physiological response; Pollinator; Risks assessments; Target insect; Toxicological assessment; agrochemical; artificial intelligence; glyphosate; imidacloprid; machine learning; toxicology; algorithm; animal experiment; animal tissue; Article; artificial intelligence; behavior; contamination; controlled study; data accuracy; ecotoxicology; environmental factor; exposure; feature selection; forager; hyperparameter optimization; immunofluorescence; in vitro study; machine learning; Melipona quadrifasciata; midgut; multivariate analysis; nonhuman; physiology; pollinator; protein analysis; recursive feature elimination; risk assessment; stingless bee; animal; artificial intelligence; bee; machine learning; Risk assessment</t>
  </si>
  <si>
    <t xml:space="preserve">fruit orchards; Honey bees; in silico prediction; pesticides; toxicity</t>
  </si>
  <si>
    <t xml:space="preserve">Acetylcholinesterase; Animals; Bees; Computer Simulation; Fruit; Fungicides, Industrial; Insect Proteins; Insecticides; Ivermectin; Molecular Docking Simulation; Pesticides; Pollination; Binding energy; Crops; Cultivation; Detoxification; Fruits; Insecticides; Pest control; Pesticide effects; abamectin; acetylcholinesterase; fungicide; insect protein; insecticide; ivermectin; pesticide; Apis mellifera; Crop production; Fruit crops; Fruit orchard; Honey bee; Hymenoptera; In silico prediction; In-silico; Pesticides exposures; Silico prediction; detoxification; fludioxonil; fruit; honeybee; orchard; pest control; pesticide application; pollinator; toxicity; animal; bee; chemistry; computer simulation; drug effect; fruit; growth, development and aging; metabolism; molecular docking; physiology; pollination; Orchards; Toxicity</t>
  </si>
  <si>
    <t xml:space="preserve">Mixture toxicity; Pollinator insects; Synergistic effect; Toxic mechanism</t>
  </si>
  <si>
    <t xml:space="preserve">Animals; Bees; Epoxy Compounds; Insecticides; Neonicotinoids; Nitro Compounds; Triazoles; epoxiconazole; epoxide; imidacloprid; insecticide; neonicotinoid; nitro derivative; triazole derivative; animal; bee; drug effect; genetics; microbiology</t>
  </si>
  <si>
    <t xml:space="preserve">Azole Fungicides; Consensus Model; Machine Learning Algorithms; QSARs</t>
  </si>
  <si>
    <t xml:space="preserve">Algorithms; Azoles; Bayes Theorem; Chlorophyta; Fungicides, Industrial; Machine Learning; Quantitative Structure-Activity Relationship; Support Vector Machine; Decision trees; Fungicides; Nearest neighbor search; Support vector regression; clotrimazole; epoxiconazole; fluconazole; fungicide; hydrogen; ketoconazole; prochloraz; triadimefon; fungicide; pyrrole derivative; Azole fungicides; Consensus models; Machine learning algorithms; Machine learning models; Machine-learning; Mixture toxicity; Nearest-neighbour; Predictive abilities; Quantitative structure activity relationship; Support vectors machine; alga; algorithm; fungicide; machine learning; numerical model; prediction; toxicity; alga; algorithm; antagonistic effect; Article; Auxenochlorella; chemical structure; cross validation; density functional theory; EC50; environmental monitoring; human; k nearest neighbor; learning; machine learning; nonhuman; quantitative structure property relation; random forest; risk assessment; support vector machine; synergistic effect; toxicity; toxicology; Bayes theorem; drug effect; green alga; quantitative structure activity relation; Risk assessment</t>
  </si>
  <si>
    <t xml:space="preserve">AI; Artificial intelligence; Cheminformatics; Deep learning; DeepSnap; Grad-CAM; Parameter optimization; QSAR; Quantitative structure-activity relationship</t>
  </si>
  <si>
    <t xml:space="preserve">Apis; Bombus; DEBtox; Neonicotinoid; Osmia; Trace metal</t>
  </si>
  <si>
    <t xml:space="preserve">Animals; Bees; Ecotoxicology; Europe; Pesticides; Species Specificity; Toxicity Tests; Europe; Apis; Apis mellifera; Apoidea; Bombus terrestris; Hexapoda; Osmia; Food products; Pesticides; Trace elements; 2,4 dichlorophenoxyacetic acid; arsenic; cadmium; clothianidin; dimethoate; environmental, industrial and domestic chemicals; fluvalinate; neonicotinoid; organophosphate; pesticide; propiconazole; pesticide; Apis; Bombus; DEBtox; Neonicotinoids; Osmia; Trace metal; bee; comparative study; ecotoxicology; pesticide; pollinator; pollution effect; toxicity; trace metal; wild population; Apis mellifera; Article; bee; Bombus terrestris; comparative toxicology; environmental exposure; female; honeybee; LC50; nonhuman; Osmia bicornis; priority journal; sensitivity analysis; species difference; toxicity testing; toxicokinetics; wild species; animal; bee; classification; drug effect; ecotoxicology; Europe; toxicity testing; Toxicity</t>
  </si>
  <si>
    <t xml:space="preserve">Environmental stresses; Metabolic detoxification; Pesticides; Phase II enzymes; Reactive oxygen species; X-ray crystallography</t>
  </si>
  <si>
    <t xml:space="preserve">Agrochemicals; Animals; Bees; Fungicides, Industrial; Glutathione Transferase; Insecticides; Molecular Structure; Agricultural chemicals; Binding energy; Detoxification; Health risks; Metabolites; Oxygen; Peptides; 1 chloro 2,4 dinitrobenzene; 4 hydroxynonenal; 4 nitrophenyl acetate; 8 anilino 1 naphthalenesulfonic acid; agricultural chemical; fungicide; glutathione transferase; glutathione transferase delta 1; herbicide; insecticide; phenethyl isothiocyanate; propyl isothiocyanate; unclassified drug; agricultural chemical; fungicide; glutathione transferase; insecticide; Apis mellifera; Biotic stressors; Environmental stress; Glutathione S-transferases; Honey bee; Isothiocyanates; Metabolic detoxification; Phase II; Phase II enzyme; Reactive oxygen species; agrochemical; byproduct; crystallography; detoxification; honeybee; oxidation; oxidative stress; Apis mellifera; Article; binding affinity; chemical structure; controlled study; detoxification; nonhuman; oxidation; oxidative stress; protein function; protein structure; X ray crystallography; animal; bee; metabolism; X ray crystallography</t>
  </si>
  <si>
    <t xml:space="preserve">Chemical detection; Chemical hazards; Computational chemistry; Forecasting; Indicators (chemical); Industrial chemicals; Least squares approximations; Molecular graphics; Population distribution; Risk assessment; Toxicity; Allied industries; Chemical constitutes; Continuous detections; Ecotoxicological risk assessment; In-silico; Model development; Quantitative structures; Simple++; Species sensitivity distributions; Structural heterogeneity; Organic chemicals</t>
  </si>
  <si>
    <t xml:space="preserve">Animals; Bees; Computer Simulation; Environmental Pollutants; Lethal Dose 50; Machine Learning; Models, Biological; Organic Chemicals; Pesticides; Risk Assessment; Chemical analysis; Chemical properties; Ecology; Food products; Hydrogen bonds; Indicators (chemical); Industrial chemicals; Learning systems; Power bipolar transistors; Risk assessment; Risk perception; Toxicity; organic compound; pesticide; Ecological risk assessment; Environmental risk assessment; Machine learning methods; Molecular descriptors; Molecular surface area; Physical chemical property; Positive correlations; Structural characteristics; animal; bee; biological model; chemistry; computer simulation; drug effect; LD50; machine learning; physiology; pollutant; risk assessment; toxicity; Organic chemicals</t>
  </si>
  <si>
    <t xml:space="preserve">Green algae; Machine learning; Polymeric coatings; Predictive model; QSAR; Toxicity</t>
  </si>
  <si>
    <t xml:space="preserve">In silico; OECD; PPPs; QSAR; Validation</t>
  </si>
  <si>
    <t xml:space="preserve">Animals; Bees; Chemometrics; Lethal Dose 50; Pesticides; Quantitative Structure-Activity Relationship; Reproducibility of Results; Apis mellifera; Agriculture; Computational chemistry; Food products; International cooperation; Molecular graphics; Toxicity; plant medicinal product; pesticide; Apis mellifera; Chemometric modeling; Contact toxicities; Developed model; Honey bee; In-silico; Organization for economic co-operation and development; Plant protection products; QSAR; Validation; data interpretation; farming system; food safety; honeybee; OECD; pollinator; prediction; toxicity; acute contact toxicity; acute toxicity; Apis mellifera; Article; calculation; chemical structure; chemometric analysis; comparative study; computer model; genetic algorithm; human; hydrophilicity; LD50; lipophilicity; Organisation for Economic Co-operation and Development; partial least squares regression; plant product; plant protection product; prediction; reliability; two dimensional quantitative structure activity relationship; validation study; animal; bee; chemometrics; quantitative structure activity relation; reproducibility; Forecasting</t>
  </si>
  <si>
    <t xml:space="preserve">Biomarkers; Honeybees; Pesticides; Stingless bees; Toxicity</t>
  </si>
  <si>
    <t xml:space="preserve">Animals; Bees; Biomarkers; Costa Rica; Humans; Insecticides; Malathion; Neonicotinoids; Costa Rica; Biodiversity; Biomarkers; Insecticides; acetylcholinesterase; catalase; fipronil; glutathione transferase; imidacloprid; malathion; biological marker; fipronil; imidacloprid; insecticide; malathion; neonicotinoid; 'current; Acute toxicity; Apis mellifera; Biomarker response; Costa Rica; Fipronil; Honeybee; Imidacloprids; Lipid peroxidation; Stingless bee; biomarker; fipronil; honeybee; insecticide; malathion; pesticide; pollinator; toxicity; acute toxicity; animal experiment; Apidae; Apis mellifera; Article; bioassay; chemosensitivity; comparative study; concentration response; controlled study; Costa Rica; LD50; lipid peroxidation; nonhuman; Tetragonisca angustula; toxicity testing; animal; bee; chemistry; human; Toxicity</t>
  </si>
  <si>
    <t xml:space="preserve">Chemical mixtures; Ecological risk assessment; Honey bees; Mode of action; QSAR models</t>
  </si>
  <si>
    <t xml:space="preserve">Animals; Bees; Data Curation; Ecosystem; Pesticides; Quantitative Structure-Activity Relationship; Reproducibility of Results; Apis mellifera; Apoidea; Computational chemistry; Database systems; Ecosystems; Forecasting; Health risks; Indicators (chemical); Mixtures; Molecular graphics; Nearest neighbor search; Organic chemicals; Pesticides; Risk assessment; Toxicity; pesticide; pesticide; Active substance; Chemical mixtures; Contact modes; Contact toxicities; Ecological risk assessment; Honey bee; Mode of action; Plant protection products; QSAR model; Regression-based model; algorithm; computer simulation; ecosystem service; honeybee; numerical model; parameter estimation; pesticide; physiological response; regression analysis; toxicity; accuracy; adverse outcome pathway; Apis mellifera; Article; chemical analysis; controlled study; correlation coefficient; data analysis; data base; ecotoxicity; environmental parameters; environmental protection; food poisoning; honeybee; k nearest neighbor; LD50; mode of action classification; prediction; priority journal; quantitative structure activity relation; regression analysis; reliability; risk assessment; sensitivity and specificity; software; statistical parameters; toxicokinetics; toxicological parameters; United States; validation study; animal; bee; ecosystem; information processing; quantitative structure activity relation; reproducibility; Classification (of information)</t>
  </si>
  <si>
    <t xml:space="preserve">Biodiversity monitoring; Ensemble learning; Honey yield; Machine learning; Precision agriculture; Sustainable agriculture</t>
  </si>
  <si>
    <t xml:space="preserve">Agriculture; Animals; Bayes Theorem; Bees; Classification Algorithms; Honey; Machine Learning; Neonicotinoids; Prediction Algorithms; Predictive Learning Models; Risk Assessment; Support Vector Machine; neonicotinoid; agriculture; animal; Bayes theorem; bee; classification algorithm; drug effect; honey; machine learning; prediction algorithm; predictive learning (machine learning); procedures; risk assessment; support vector machine</t>
  </si>
  <si>
    <t xml:space="preserve">biological indicators; biomarkers; environmental factors; metals; Self-Organizing Map</t>
  </si>
  <si>
    <t xml:space="preserve">acetylcholinesterase; biological marker; catalase; chromium; glutathione reductase; glutathione transferase; heavy metal; iron; manganese; nickel; superoxide dismutase; zinc; air temperature; Apis mellifera; Article; artificial neural network; controlled study; ecology; enzyme activity; forager; Italy; nonhuman; oxidative stress; summer</t>
  </si>
  <si>
    <t xml:space="preserve">Ecological corona; Machine learning; Nanoinformatics; Nanomaterials ageing; Nanosafety; Read-across</t>
  </si>
  <si>
    <t xml:space="preserve">Animals; Daphnia; Ecotoxicology; Nanostructures; Daphnia magna; Computational chemistry; Ecology; Forecasting; Ionic strength; Learning systems; Statistical tests; Titanium dioxide; Toxicity; fresh water; humic acid; multi walled nanotube; natural organic matter; poloxamer; povidone; river water; silver nanoparticle; solvent; titanium dioxide nanoparticle; nanomaterial; Daphnia magna; Ecological corona; Ecotoxicity; Ecotoxicological; Machine-learning; Nanoinformatics; Nanomaterial aging; Nanosafety; Natural organic matters; Read-across; coating; commercialization; crustacean; dispersion; ecotoxicology; immobilization; model validation; nanotechnology; physicochemical property; toxicity; zooplankton; acute toxicity; aging; animal experiment; animal model; Article; comparative study; computer model; controlled study; Daphnia magna; dispersion; dose response; ecotoxicity; ecotoxicology; hardness; machine learning; nanotechnology; nanotoxicology; nonhuman; Organisation for Economic Co-operation and Development; quantitative structure activity relation; toxicity testing; animal; Daphnia; Nanostructured materials</t>
  </si>
  <si>
    <t xml:space="preserve">Acute contact toxicity; Applicability domain; Honey bees; Machine learning; Structural alerts</t>
  </si>
  <si>
    <t xml:space="preserve">Animals; Bees; Computer Simulation; Lethal Dose 50; Machine Learning; Models, Theoretical; Pesticides; Quantitative Structure-Activity Relationship; Risk Assessment; Toxicity Tests, Acute; pesticide; pesticide; acute toxicity; Article; classification; computer model; controlled study; convolutional neural network; false negative result; false positive result; frequency analysis; honeybee; in vitro study; k nearest neighbor; LD50; machine learning; measurement accuracy; molecular fingerprinting; nonhuman; prediction; probabilistic neural network; sensitivity and specificity; structure analysis; support vector machine; animal; bee; chemistry; computer simulation; drug effect; quantitative structure activity relation; risk assessment; theoretical model; toxicity testing</t>
  </si>
  <si>
    <t xml:space="preserve">Explainable AI; RFA; RFR; Shapley values; Toxicity</t>
  </si>
  <si>
    <t xml:space="preserve">Administration, Inhalation; Algorithms; Animals; Machine Learning; Prediction Algorithms; Predictive Learning Models; Quantitative Structure-Activity Relationship; Random Forest; algorithm; animal; inhalational drug administration; machine learning; prediction algorithm; predictive learning (machine learning); quantitative structure activity relation; random forest</t>
  </si>
  <si>
    <t xml:space="preserve">Artificial Intelligence; Cardiotoxicity; Machine Learning; Mixture of Experts; Multitask Neural Network; QSAR</t>
  </si>
  <si>
    <t xml:space="preserve">Computational toxicology; High-throughput screening (HTS); Multi-task learning; Quantitative structure–activity relationship (QSAR); Toxicity prediction</t>
  </si>
  <si>
    <t xml:space="preserve">Computational chemistry; Decision trees; Forecasting; Forestry; Learning systems; Molecular graphics; Multi-task learning; Random forests; Support vector machines; Throughput; Toxicity; Computational toxicology; High throughput screening; High-throughput screening; Human organs; Machine-learning; Multitask learning; Quantitative structure activity relationship; Quantitative structure-activity relationship modeling; Quantitative structure–activity relationship; Toxicity predictions; Article; cardiotoxicity; chemical structure; decision tree; deep learning; deep neural network; development; developmental toxicity; genotoxicity; HCT 116 cell line; HEK293 cell line; Hep-G2 cell line; homeostasis; human; human cell; liver toxicity; machine learning; nephrotoxicity; neurotoxicity; physical chemistry; quantitative structure activity relation; reproductive toxicity; risk assessment; Shapley additive explanation; support vector machine; xenobiotic homeostasis; Risk assessment</t>
  </si>
  <si>
    <t xml:space="preserve">agricultural chemicals; Decline of pollinators; digestive histophysiology; nutrition; toxicity</t>
  </si>
  <si>
    <t xml:space="preserve">agrochemicals; deep learning; ecotoxicity; large language model; multimodal fusion; risk assessment</t>
  </si>
  <si>
    <t xml:space="preserve">Agrochemicals; Animals; Bees; Large Language Models; Agricultural chemicals; Benchmarking; Deep learning; Ecology; Food products; Forecasting; Graph theory; Learning systems; agricultural chemical; coumafos; disulfoton; herbicide; imidacloprid; insecticide; organophosphate insecticide; pesticide; phytohormone; pirimicarb; pyrethroid; tetraethyl diphosphate; unclassified drug; Accurate prediction; Deep learning; Ecological risks; Ecotoxicity; Language model; Large language model; Learning frameworks; Multi-modal; Multi-modal fusion; Risks assessments; agrochemical; bee; benchmarking; data set; machine learning; risk assessment; toxicity; accuracy; acute toxicity; aged; Apidae; area under the curve; Article; bee; benchmarking; boosting machine learning algorithm; comparative study; deep learning; ecotoxicity; environmental impact; graph neural network; large language model; LD50; nonhuman; pollinator; prediction; predictive model; receiver operating characteristic; risk assessment; validation study; animal; bee; large language model; Risk assessment</t>
  </si>
  <si>
    <t xml:space="preserve">Deep learning; Explainable artificial intelligence; Graph convolutional neural networks; HOMO-LUMO gap; In vitro 3T3 NRU-PT; Phototoxicity</t>
  </si>
  <si>
    <t xml:space="preserve">Artificial Intelligence; Dermatitis, Phototoxic; Drug Development; Drug Discovery; Humans; Neural Networks, Computer; phenothiazine; accuracy; area under the curve; Article; artificial intelligence; chemical structure; computer model; controlled study; deep learning; density functional theory; diagnostic test accuracy study; drug development; drug metabolism; graph convolutional neural network; Highest Occupied Molecular Orbital; human; in vitro study; Lowest Unoccupied Molecular Orbital; machine learning; mathematical model; molecular docking; phototoxicity; procedures, parameters and devices; productivity; quantitative structure activity relation; receiver operating characteristic; toxicology; artificial intelligence; artificial neural network; phototoxic dermatitis</t>
  </si>
  <si>
    <t xml:space="preserve">artificial intelligence; In silico; mixture toxicity; nanotoxicology; oxidative stress</t>
  </si>
  <si>
    <t xml:space="preserve">Carbon; Graphite; Machine Learning; Nanostructures; Nanotubes, Carbon; Oxidative Stress; Quantitative Structure-Activity Relationship; Reactive Oxygen Species; Scenedesmus; Adaptive boosting; Binary mixtures; Decision trees; Forecasting; Learning systems; Logistic regression; Multiwalled carbon nanotubes (MWCN); Nearest neighbor search; Neural networks; Random forests; Single-walled carbon nanotubes (SWCN); Support vector regression; Toxicity; Yarn; carbon; fullerene; graphene; graphene oxide; multi walled nanotube; nanomaterial; single walled nanotube; carbon nanotube; graphite; reactive oxygen metabolite; Carbon nano-materials; Classification models; Engineered nanomaterials; In-silico; Mixture toxicity; Nanotoxicology; Reactive oxygen species; Regression modelling; Specific surface; Stress effects; alga; artificial intelligence; environmental risk; machine learning; model validation; nanomaterial; oxidative stress; reactive oxygen species; toxicity; alga; Article; artificial neural network; Bayesian learning; cells; controlled study; decision tree; ecotoxicity; hydrodynamics; k nearest neighbor; laboratory; logistic regression analysis; machine learning; nonhuman; oxidative stress; physical chemistry; quantitative structure activity relation; random forest; Shapley additive explanation; support vector machine; surface area; Tetradesmus obliquus; zeta potential; cytology; drug effect; metabolism; Scenedesmus; Oxidative stress</t>
  </si>
  <si>
    <t xml:space="preserve">Automated early-warning system; Deep learning; Honeybee mortality; Pesticide-associated mortality; YOLOv9</t>
  </si>
  <si>
    <t xml:space="preserve">Antioxidant enzymes; Cognition; Gustatory responsiveness; Olfactory conditioning; Organophosphates; Pollinators; Sublethal toxicity</t>
  </si>
  <si>
    <t xml:space="preserve">Animals; Bees; Insecticides; Learning; Malathion; Memory; Oxidative Stress; Assays; Associative processing; Crops; Ecosystems; Electronic nose; Industrial poisons; Oxidative stress; Sensory perception; Toxicity; catalase; malathion; superoxide dismutase; insecticide; malathion; Antioxidants enzymes; Apis mellifera; Cognition; Gustatory responsiveness; Learning and memory; Olfactory conditioning; Organophosphate; Pollinator; Sublethal dose; Sublethal toxicity; antioxidant; cognition; enzyme activity; honeybee; learning; malathion; memory; oxidative stress; perception; pollinator; sensory system; sublethal effect; toxicity; Apis mellifera; Article; ecosystem; homeostasis; honeybee; learning; memory; memory consolidation; mortality; nonhuman; oxidative stress; physiology; sensation; animal; bee; drug effect; learning; memory; Insecticides</t>
  </si>
  <si>
    <t xml:space="preserve">anti-Varroa acaricides; Apis mellifera; neonicotinoids; side effects; synergistic effects</t>
  </si>
  <si>
    <t xml:space="preserve">Animals; Bees; Drug Synergism; Gene Expression Regulation; Guanidines; Hypopharynx; Insecticides; Neonicotinoids; Nitro Compounds; Oxidative Stress; Toluidines; amitraz; dinotefuran; vitellogenin; amitraz; dinotefuran; guanidine derivative; insecticide; neonicotinoid; nitro derivative; toluidine derivative; apiculture; Apis mellifera; Article; biodiversity; controlled study; detoxification; gene expression; gene expression profiling; glandular system; honeybee; hypopharynx; LC10; lethal concentration; nonhuman; oxidative stress; physiological stress; pollinator; risk assessment; survival analysis; toxicity testing; Varroa; animal; bee; drug effect; drug potentiation; gene expression regulation; genetics; physiology</t>
  </si>
  <si>
    <t xml:space="preserve">acute contact toxicity; computational toxicology; honeybee; in silico models; pesticides</t>
  </si>
  <si>
    <t xml:space="preserve">Animals; Bees; Models, Molecular; Neural Networks (Computer); Pesticides; Quantitative Structure-Activity Relationship; Backpropagation; Neural networks; Toxicity; pesticide; Acute contact toxicity; Apis mellifera; Classification models; Computational modelling; Computational toxicology; Contact toxicities; Experimental evaluation; Honeybee; In-silico; In-silico models; animal; artificial neural network; bee; drug effect; molecular model; quantitative structure activity relation; Pesticides</t>
  </si>
  <si>
    <t xml:space="preserve">developmental toxicity; gradient boosting; in silico test; Malformation; predictive toxicology</t>
  </si>
  <si>
    <t xml:space="preserve">Abnormalities, Drug-Induced; Algorithms; Animals; Computer Simulation; Embryo, Nonmammalian; Embryonic Development; Machine Learning; Quantitative Structure-Activity Relationship; Teratogens; Zebrafish; chemical compound; pesticide; teratogenic agent; algorithm; animal experiment; animal model; Article; artificial neural network; balanced accuracy score; cheminformatics; computer model; confusion matrix; congenital malformation; controlled study; correlation coefficient; data accuracy; deep learning; developmental toxicity; embryo; false negative result; false positive result; gradient boosting model; learning algorithm; logistic regression analysis; machine learning; multilayer perceptron; nerve cell network; nonhuman; physical chemistry; prediction; predictive value; quantitative structure activity relation; scoring system; sensitivity and specificity; software; statistical parameters; toxicity testing; zebra fish; animal; computer simulation; drug effect; drug induced malformation; embryo development; embryology; etiology; nonmammalian embryo</t>
  </si>
  <si>
    <t xml:space="preserve">artificial intelligence; data science; environmental toxicology; in silico modeling; toxicity screening</t>
  </si>
  <si>
    <t xml:space="preserve">Apis mellifera; Artificial intelligence; Ecotoxicology; Machine learning; Pollinators; Predictive modeling</t>
  </si>
  <si>
    <t xml:space="preserve">bromuconazole; cypermethrin; demeton methyl; dienochlor; ethion; fenamiphos; fenbutatin oxide; fenpropathrin; hydramethylnon; oxydemeton methyl; pesticide; phosphamidon; pirimiphos ethyl; sulfometuron methyl; toxic substance; unclassified drug; acute toxicity; adult; Apis mellifera; Article; artificial intelligence; BeeToxAI; classification; controlled study; ecotoxicology; feed forward neural network; machine learning; molecular fingerprinting; nonhuman; pollinator; prediction; predictive model; quantitative structure activity relation; random forest; regression model</t>
  </si>
  <si>
    <t xml:space="preserve">Artifcial neural networks; Physicochemical properties; QSAR; REACH; Toxicity</t>
  </si>
  <si>
    <t xml:space="preserve">Animals; Environmental Policy; Environmental Pollutants; European Union; Humans; Neural Networks (Computer); Quantitative Structure-Activity Relationship; pollutant; activated sludge; acute toxicity; aquatic species; Article; artificial neural network; bioaccumulation; biodegradability; carcinogenicity; dissociation constant; eye irritation; genetic algorithm; hydrolysis; law; lipid membrane; melting point; mutagenicity; nonhuman; partition coefficient; physical chemistry; quantitative structure activity relation; quantitative structure property relation; relative density; reproductive toxicity; respiration depression; skin irritation; skin sensitization; support vector machine; surface tension; temperature; terrestrial species; validation study; vapor pressure; animal; environmental planning; European Union; human; legislation and jurisprudence; pollutant; toxicity</t>
  </si>
  <si>
    <t xml:space="preserve">Explainable AI; Honey bee; K-means clustering; Pesticide exposure; Spermatozoa quality; XGBoost classifier</t>
  </si>
  <si>
    <t xml:space="preserve">agrochemical; artificial intelligence; chemical pollutant; cluster analysis; honeybee; neonicotinoid pesticide; pollution exposure; sperm</t>
  </si>
  <si>
    <t xml:space="preserve">Ames test; Deep learning; Machine learning; Mutagenicity; Neural networks</t>
  </si>
  <si>
    <t xml:space="preserve">accuracy; Ames test; artificial neural network; bioaccumulation; carcinogenicity; chemical database; cognition; computer model; convolutional neural network; deep learning; drug industry; ecotoxicology; environmental protection; human; inception network; machine learning; mutagenicity; nonhuman; prediction; priority journal; quantitative structure activity relation; reproductive toxicity; residual network; toxicological parameters</t>
  </si>
  <si>
    <t xml:space="preserve">Apis mellifera; docking; honey bee; NAMs; pesticide; risk assessment; virtual screening</t>
  </si>
  <si>
    <t xml:space="preserve">Honey bee; Neurotransmission disruption; Oxidative stress; Species-specific sensitivity; Toxicology</t>
  </si>
  <si>
    <t xml:space="preserve">Animals; Bees; Cytochrome P-450 Enzyme System; Glutathione; Insecticides; Lethal Dose 50; Oxidative Stress; Detoxification; Food products; Gene expression; Insecticides; Toxicity; 4 aminobutyrate aminotransferase; 4 aminobutyric acid; acetylcholinesterase; acyl coenzyme A delta; acyl coenzyme A desaturase; adenylate cyclase; bovine serum albumin; calcium calmodulin dependent protein kinase kinase; calmodulin; catalase; choline acetyltransferase; choline transporter; cytochrome P450; fatty acyl coa reductase; gls protein; glucose dehydrogenase; glucuronosyltransferase; glutamate ammonia ligase; glutamate decarboxylase; glutamate receptor; glutaminase; glutathione; glutathione transferase; homer scaffolding protein; insecticide; major royal jelly protein 4 precursor; malonaldehyde; membrane protein; mesoionic; monocarboxylate transporter; muscarinic receptor; n ethylmaleimide sensitive factor; nicotinic receptor; peptidoglycan recognition protein; protein kinase C; ras related protein; sodium proton exchange protein; sucrose; synapsin; synaptic vesicle membrane protein; synaptosomal associated protein; synaptotagmin; triflumezopyrim; unclassified drug; uridine diphosphate; vesicular choline transporter; vesicular glutamate transporter; cytochrome P450; glutathione; insecticide; Apis cerana; Apis mellifera; Differential effect; Down-regulation; Honey bee; Neurotransmission disruption; Species specifics; Species-specific sensitivity; Toxicological effects; Toxicology; antioxidant; cytochrome; detoxification; gene expression; honeybee; immune response; insecticide; oxidative stress; toxicology; acute toxicity; animal experiment; animal model; antioxidant activity; Apis cerana; Apis mellifera; Article; chronic toxicity; climbing; controlled study; detoxification; differential gene expression; down regulation; enzyme activity; food intake; gene expression; immune response; LC50; long term exposure; molecular biology; neurotransmission; nonhuman; oxidative stress; pollinator; potential difference; sensitivity analysis; synaptic transmission; toxicity testing; toxicology; transcriptomics; upregulation; animal; bee; drug effect; genetics; LD50; metabolism; Oxidative stress</t>
  </si>
  <si>
    <t xml:space="preserve">Apidae; ecotoxicology; Hymenoptera; insecticides; machine learning; pollinator decline; quantitative systematic review</t>
  </si>
  <si>
    <t xml:space="preserve">Animals; Bees; Neural Networks (Computer); Pesticides; Quantitative Structure-Activity Relationship; Apis mellifera; pesticide; pesticide; accuracy; Article; artificial neural network; controlled study; decision tree; generalized regression neural network; honeybee; noise; nonhuman; prediction; probabilistic neural network; qualitative analysis; quantitative analysis; quantitative structure toxicity relationship; random forest; structure activity relation; support vector machine; toxicity testing; animal; artificial neural network; bee; drug effects; metabolism; quantitative structure activity relation</t>
  </si>
  <si>
    <t xml:space="preserve">Bee poisoning; Ecological toxicity; Molecular degradability; Pre-trained model, Graph neural networks</t>
  </si>
  <si>
    <t xml:space="preserve">Animals; Bees; Ecotoxicology; Neural Networks, Computer; Toxicity Tests; Endocrinology; Toxicity; agricultural chemical; ecdysone; epicatechin; histamine; juvenile hormone; methoprene; neuropeptide; pesticide; Bee poisoning; Degradability; Ecological toxicity; Ecotoxicity; Graph neural networks; Molecular degradability; Poor performance; Pre-trained model, graph neural network; Predictive capabilities; Toxicity assessment; accuracy assessment; artificial neural network; assessment method; bee; ecotoxicology; molecular analysis; poisoning; prediction; toxicity; animal experiment; Article; artificial neural network; autoencoder; bee; binary classification; biodegradability; bioinformatics; brain nerve cell; chemical structure; comparative study; controlled study; decision tree; deep learning; dimensionality reduction; ecotoxicity; embedding; environmental factor; feature extraction; k nearest neighbor; learning algorithm; machine learning; nonhuman; prediction; predictive model; receiver operating characteristic; recurrent neural network; support vector machine; toxicity testing; animal; artificial neural network; bee; drug effect; ecotoxicology; toxicity testing; Hormones</t>
  </si>
  <si>
    <t xml:space="preserve">Gene expression; Honey bee; LD50; Oral toxicity; Oxidative stress; Paraquat</t>
  </si>
  <si>
    <t xml:space="preserve">Animals; Bees; Gene Expression; Herbicides; Lethal Dose 50; Paraquat; Fertilizers; Gene expression; Gene expression regulation; Herbicides; Insecticides; Oxidative stress; Sugar beets; Weed control; catalase; lactate dehydrogenase; paraquat; superoxide dismutase; herbicide; paraquat; Apis cerana; Apis mellifera; Comparative toxicity; Genes expression; Honey bee; Ld50; Oral toxicity; Paraquat; Rate expression; Survival rate; agricultural ecosystem; agricultural production; antioxidant; comparative study; detoxification; gene expression; honeybee; nontarget organism; oxidative stress; paraquat; pollution effect; pollution exposure; risk assessment; survival; toxicity test; Apis cerana; Apis mellifera; Article; chemical analysis; controlled study; detoxification; drug concentration; ecosystem; gene expression; honeybee; lethal dose; nonhuman; Nosema; real time polymerase chain reaction; RNA extraction; survival rate; toxicity; animal; bee; comparative study; drug effect; gene expression; genetics; LD50; Detoxification</t>
  </si>
  <si>
    <t xml:space="preserve">Ecotoxicity; Environmental monitorization; Hybrid in silico models; Machine learning; Nanoparticles; QSAR; QSTR</t>
  </si>
  <si>
    <t xml:space="preserve">nanoparticle; artificial neural network; Bayesian network; CC50 (cytotoxic concentration); deep neural network; discriminant analysis; EC50; ecotoxicity; ecotoxicology; environmental monitoring; genetic algorithm; human; IC50; LC50; machine learning; multiple linear regression analysis; nanotoxicology; nonhuman; partial least squares regression; priority journal; quantitative structure activity relation; random forest; support vector machine; TC50</t>
  </si>
  <si>
    <t xml:space="preserve">Descriptors; Machine learning; Nano-QSAR; Nanomaterials; Safe-by-design; Toxicity</t>
  </si>
  <si>
    <t xml:space="preserve">Computational chemistry; Data Analytics; Learning systems; Molecular graphics; Nanostructured materials; Toxicity; Classifier models; Cytotoxic effects; Generalized linear model; Multiple applications; Potential effects; Predictive capacity; Quantitative structure-activity relationships; Toxicity assessment; Advanced Analytics</t>
  </si>
  <si>
    <t xml:space="preserve">Bee health; Contamination detection; Machine learning; Poisoning prediction; Reflectance profiling</t>
  </si>
  <si>
    <t xml:space="preserve">Animals; Artificial Intelligence; Bees; Dimethoate; Discriminant Analysis; Environmental Monitoring; Glycine; Glyphosate; Insecticides; Neonicotinoids; Nitro Compounds; Pesticides; Pyrazoles; Spectrophotometry, Infrared; dimethoate; fipronil; glyphosate; imidacloprid; dimethoate; fipronil; glycine; glyphosate; imidacloprid; insecticide; neonicotinoid; nitro derivative; pesticide; pyrazole derivative; Bee health; Contamination detection; Detection methods; Hyperspectral reflectance; Machine-learning; Pesticide contaminations; Pesticide detection; Poisoning prediction; Reflectance profiling; Spectral analyze; artificial intelligence; fipronil; herbicide; imidacloprid; machine learning; pesticide; quality control; reflectance; animal experiment; animal tissue; Apis mellifera; Article; artificial intelligence; bee; body surface; carcass; contamination; controlled study; discriminant analysis; environmental monitoring; hyperspectral imaging; infrared spectroscopy; machine learning; Melipona mondury; nonhuman; Partamona helleri; remote sensing; animal; artificial intelligence; bee; infrared spectrophotometry; procedures; Infrared spectroscopy</t>
  </si>
  <si>
    <t xml:space="preserve">data harmonization; ECOTOX database; ecotoxicity; honeybee; pesticides</t>
  </si>
  <si>
    <t xml:space="preserve">Animals; Bees; Databases, Factual; Ecotoxicology; Environmental Pollutants; Pesticides; Data reliability; Environmental Protection Agency; Life cycle; Life cycle assessment; Pesticide effects; Uncertainty analysis; pesticide; Apis mellifera; Data harmonization; Economic burden; ECOTOX database; Ecotoxicity; Effective dose; Honeybee; Lifecycle impact assessment; Orders of magnitude; Pesticides exposures; animal; bee; drug effect; ecotoxicology; factual database; pollutant; toxicity; Database systems</t>
  </si>
  <si>
    <t xml:space="preserve">Explainable machine learning; Pesticides; Phytotoxicity; Quantum chemical descriptors; Shapley additive explanations; XGBoost</t>
  </si>
  <si>
    <t xml:space="preserve">Machine Learning; Pesticides; Quantitative Structure-Activity Relationship; Wastewater; Water Pollutants, Chemical; Additives; Agricultural machinery; Crop protection; Cultivation; Environmental regulations; Forecasting; Health risks; Learning systems; Machine learning; Plants (botany); Quantum chemistry; Seed; Toxicity; pesticide; pesticide; Environmental factors; Explainable machine learning; Learning frameworks; Machine-learning; Phytotoxicity; Quantum chemical descriptors; Shapley; Shapley additive explanation; Wastewater reuse; Xgboost; crop processing; data set; environmental risk; germination; health risk; machine learning; pesticide; phytotoxicity; wastewater treatment; accuracy; Article; cross validation; duration; EC50; environmental decision making; environmental factor; explainable machine learning; exposure; germination; growth inhibition; machine learning; nonhuman; performance; phytotoxicity; pKa; plant; predictive model; Shapley additive explanation; species; toxicology; waste water recycling; water solubility; chemistry; machine learning; quantitative structure activity relation; toxicity; wastewater; water pollutant; Pesticides</t>
  </si>
  <si>
    <t xml:space="preserve">Ecotoxicology; Machine learning; Quantitative structure-activity relationship (QSAR)</t>
  </si>
  <si>
    <t xml:space="preserve">algorithm; dangerous goods; ecotoxicology; human; machine learning; quantitative structure activity relation</t>
  </si>
  <si>
    <t xml:space="preserve">bee toxicity prediction; deep learning; environmental risk assessment; isoxazoline insecticides</t>
  </si>
  <si>
    <t xml:space="preserve">Animals; Bees; Deep Learning; Insecticides; Isoxazoles; Pesticides; Pollination; Agriculture; Deep neural networks; Ecosystems; Environmental management; Health risks; Information management; Insecticides; Learning systems; Network architecture; Risk management; Toxicity; insecticide; isoxazole derivative; pesticide; Bee toxicity prediction; Deep learning; Ecosystem health; Environmental risk assessment; Environmental threats; Health security; Isoxazoline insecticide; Isoxazolines; Parasite-; Toxicity predictions; animal; bee; chemistry; deep learning; drug effect; pollination; Risk assessment</t>
  </si>
  <si>
    <t xml:space="preserve">Ecotoxicity; In silico models; In vivo; Machine learning; Metallic nanoparticles; Screening risk assessment</t>
  </si>
  <si>
    <t xml:space="preserve">Algorithms; Animals; Daphnia; Machine Learning; Neural Networks, Computer; Quantitative Structure-Activity Relationship; Biodegradability; Classification (of information); Decision trees; Environmental impact; Learning algorithms; Machine learning; Nanotechnology; Nearest neighbor search; Neural networks; Physicochemical properties; Risk assessment; Toxicity; metal nanoparticle; nanomaterial; Daphnia magna; Ecotoxicity; Engineered nanomaterials; In-silico; In-silico models; In-vivo; Machine-learning; Metallic nanoparticles; Risks assessments; Screening risk assessment; accuracy assessment; correlation; crustacean; ecotoxicology; machine learning; nanoparticle; prediction; risk assessment; animal experiment; animal model; Article; artificial neural network; comparative study; computer model; Daphnia magna; dispersity; ecotoxicity; in vitro study; in vivo study; k nearest neighbor; machine learning; nonhuman; Organisation for Economic Co-operation and Development; particle size; performance indicator; physical chemistry; physical performance; risk assessment; sensitivity and specificity; supervised machine learning; zeta potential; algorithm; animal; Daphnia; quantitative structure activity relation; Consumer products</t>
  </si>
  <si>
    <t xml:space="preserve">Deep learning; Graph attention convolutional neural networks; Honey bees toxicity; Molecular design; Pesticide</t>
  </si>
  <si>
    <t xml:space="preserve">Chemical contamination; Convolution; Deep learning; Food supply; Forecasting; Pesticides; Risk assessment; Accurate prediction; Chemical exposure; Chemical poisoning; Chemical toxicity; Correlation coefficient; Environmental risk assessment; Machine learning models; Molecular similarity; Convolutional neural networks</t>
  </si>
  <si>
    <t xml:space="preserve">Apis mellifera mellifera L.; Bioassay; Intrinsic toxicity; LC&lt;sub&gt;50&lt;/sub&gt;; Time mortality</t>
  </si>
  <si>
    <t xml:space="preserve">Feature importance analysis; Ionic liquids; Machine learning; Structure-toxicity relationship; Toxicity prediction</t>
  </si>
  <si>
    <t xml:space="preserve">Convolutional neural networks; Electronic structure; Forecasting; Learning algorithms; Learning systems; Machine learning; Network layers; Plants (botany); Prediction models; Toxicity; Acetylcholinesterase; Feature importance analyze; Importance analysis; Interpretability; Machine-learning; On-machines; Structure-toxicity relationship; Toxicity mechanisms; Toxicity predictions; Vibrio fischeri; Ionic liquids</t>
  </si>
  <si>
    <t xml:space="preserve">Artificial Intelligence; Biomarkers; Computer Simulation; Drug-Related Side Effects and Adverse Reactions; Humans; Machine Learning; Neural Networks, Computer; Support Vector Machine; Torsades de Pointes; biological marker; adverse drug reaction; artificial intelligence; artificial neural network; computer simulation; human; machine learning; support vector machine; torsade de pointes</t>
  </si>
  <si>
    <t xml:space="preserve">Algorithms; Animals; Machine Learning; Quantitative Structure-Activity Relationship; Reproducibility of Results; Uncertainty; adoption; algorithm; article; cross validation; employment; exercise; learning; linear regression analysis; machine learning; mitigation; pattern recognition; price; quantitative structure activity relation; reproducibility; toxicology; uncertainty; animal; machine learning</t>
  </si>
  <si>
    <t xml:space="preserve">Model organism; Mushroom body; Neonicotinoid; Stingless bees; Toxicity tests; Ultrastructure</t>
  </si>
  <si>
    <t xml:space="preserve">Animals; Bees; Insecticides; Lethal Dose 50; Neonicotinoids; Pesticides; Thiamethoxam; Toxicity Tests; Apis mellifera; Apoidea; Basidiomycota; Hexapoda; Melipona scutellaris; Meliponinae; Flickering; Neurons; Risk assessment; Toxicity; thiamethoxam; insecticide; neonicotinoid; pesticide; thiamethoxam; Active ingredients; Apis mellifera; Differential sensitivity; Lethal concentration; Oral ingestion; Pesticide risk assessment; Toxicity test; Ultrastructural analysis; bee; ecotoxicology; morphology; Neotropical Region; nontarget organism; pesticide; pollinator; risk assessment; thiamethoxam; toxicity test; ultrastructure; animal cell; animal experiment; animal tissue; Apis mellifera; Article; bee; biodiversity; chemical analysis; concentration (parameter); controlled study; environmental protection; LC50; LT50; Melipona scutellaris; morphology; mortality rate; nerve cell; nonhuman; organism colony; sensitivity analysis; toxicity testing; transmission electron microscopy; ultrastructure; animal; bee; LD50; Insecticides</t>
  </si>
  <si>
    <t xml:space="preserve">agrochemistry; chemoinformatics; ecotoxicology; graph classification; machine learning; molecular graphs</t>
  </si>
  <si>
    <t xml:space="preserve">Agricultural chemicals; Benchmarking; Graph theory; Machine learning; Medicinal chemistry; Pesticides; Agrochemistry; Chemoinformatics; Eco-friendly; Eco-toxicology; Graph classification; Graph machine; Machine learning models; Machine-learning; Molecular graphs; Research focus; Learning systems</t>
  </si>
  <si>
    <t xml:space="preserve">Algorithms; Databases; DNA Damage; Models, Chemical; Models, Theoretical; Mutagenicity Tests; Mutagens; Neural Networks (Computer); Pharmaceutical Preparations; Quantitative Structure-Activity Relationship; Salmonella typhimurium; Sensitivity and Specificity; Software; Structure-Activity Relationship; Salmonella typhimurium; drug; mutagenic agent; algorithm; Ames test; analytic method; analytical error; article; artificial neural network; atom; chemical bond; consensus; controlled study; electrical parameters; genotoxicity; intermethod comparison; learning; nonhuman; prediction; priority journal; quantitative structure activity relation; reliability; Salmonella typhimurium; sensitivity and specificity; standard; statistical analysis; statistical model; statistical parameters; toxicity testing; validation process</t>
  </si>
  <si>
    <t xml:space="preserve">ADMET; Machine learning; Web server; XGBoost</t>
  </si>
  <si>
    <t xml:space="preserve">Benchmarking; Drug Discovery; Machine Learning; cytochrome P450 2C9; cytochrome P450 2D6; cytochrome P450 3A4; halogen; radical; Article; excretion; LD50; machine learning; metabolism; peptide mass fingerprinting; prediction; toxicity; benchmarking; drug development; machine learning</t>
  </si>
  <si>
    <t xml:space="preserve">Artificial intelligence; Chemical embedding; Deep neural network; Drug discovery; Drug metabolism; Drug toxicity; Drug-target interaction; Graph neural network; Self-supervised learning; Semi-supervised learning</t>
  </si>
  <si>
    <t xml:space="preserve">Algorithms; Humans; Machine Learning; Neural Networks, Computer; Quantitative Structure-Activity Relationship; Students; Benchmarking; Binding energy; Computational chemistry; Embeddings; Forecasting; Graph neural networks; Metabolism; Toxicity; Chemical embedding; Drug discovery; Drug metabolisms; Drug toxicity; Drug-target interactions; Embeddings; Graph isomorphism; Graph neural networks; Self-supervised learning; Self-training; algorithm; human; machine learning; quantitative structure activity relation; student; Deep neural networks</t>
  </si>
  <si>
    <t xml:space="preserve">aquatic toxicity; contrastive learning; deep learning; dual-view data enhancements; multi-task model</t>
  </si>
  <si>
    <t xml:space="preserve">Animals; Deep Learning; Ecosystem; Fishes; Neural Networks, Computer; Water Pollutants, Chemical; accuracy; aquatic environment; area under the curve; Article; attention; biodiversity; contrastive pretraining; Cyprinodon variegatus; deep learning; graph neural network; LC50; Lepomis macrochirus; nonhuman; Oncorhynchus mykiss; Pimephales promelas; pollutant; prediction; robust aquatic toxicity prediction; training; animal; artificial neural network; ecosystem; fish; toxicity; water pollutant</t>
  </si>
  <si>
    <t xml:space="preserve">Anthracyclines; Dispersion interaction; Drug toxicity; Electrophilicity; Quantitative structure-activity relationship; Quantum chemical methods</t>
  </si>
  <si>
    <t xml:space="preserve">Anthracyclines; Antibiotics, Antineoplastic; Biotransformation; Drug Delivery Systems; Drug Design; Drug-Related Side Effects and Adverse Reactions; Humans; Hydrophobic and Hydrophilic Interactions; Lethal Dose 50; Neoplasms; Oxidation-Reduction; Quantitative Structure-Activity Relationship; Signal Transduction; anthracycline; antineoplastic agent; cytochrome P450; zorubicin; anthracycline; antineoplastic antibiotic; antineoplastic activity; Article; biological activity; cancer chemotherapy; cardiotoxicity; chemical structure; computer analysis; correlation analysis; drug delivery system; drug design; drug detoxification; drug interaction; drug metabolism; drug toxicity; drug transformation; electrophilicity; human; LD50; lethality; mathematical model; molecular docking; molecular mechanics; nonhuman; oxidation; quantitative structure activity relation; quantum chemistry; structure activity relation; adverse drug reaction; biotransformation; chemical phenomena; chemistry; drug design; neoplasm; oxidation reduction reaction; signal transduction</t>
  </si>
  <si>
    <t xml:space="preserve">artificial intelligence; deep learning; machine learning; toxicity database; toxicity prediction</t>
  </si>
  <si>
    <t xml:space="preserve">Algorithms; Animals; Artificial Intelligence; Machine Learning; Neural Networks, Computer; Quantitative Structure-Activity Relationship; Database systems; Decision trees; Deep neural networks; Forecasting; Indicators (chemical); Learning algorithms; Learning systems; chemical compound; Animal testing; Chemicals management; Deep learning; Environmental chemicals; Machine-learning; Management applications; Molecular descriptors; Prediction modelling; Toxicity database; Toxicity predictions; algorithm; artificial intelligence; chemical pollutant; computer simulation; prediction; toxicity; Article; artificial intelligence; artificial neural network; deep learning; deep neural network; ecotoxicity; machine learning; nonhuman; random forest; algorithm; animal; machine learning; quantitative structure activity relation; Toxicity</t>
  </si>
  <si>
    <t xml:space="preserve">Animals; Cyprinidae; Models, Biological; Organic Chemicals; Quantitative Structure-Activity Relationship; Reproducibility of Results; Water; Water Pollutants, Chemical; Artificial intelligence; Ecology; Mathematical models; Neural networks; Organic compounds; Performance; organic compound; water; Aquatic toxicity; Potential negative effects; animal; article; biological model; chemistry; Cypriniformes; quantitative structure activity relation; reproducibility; water pollutant; Toxicity</t>
  </si>
  <si>
    <t xml:space="preserve">3T3 Cells; Animals; Biological Assay; Dermatitis, Phototoxic; Humans; Machine Learning; Mice; Models, Theoretical; Neutral Red; Photosensitizing Agents; agricultural chemical; alclofenac; aminolevulinic acid; amiodarone; benoxaprofen; carprofen; cinmetacin; cosmeceutical; felbinac; fenclofenac; fentiazac; flunoxaprofen; fluorouracil; flurbiprofen; ibuprofen; indometacin; indoprofen; ketoprofen; lonazolac; loxoprofen; metal complex; naproxen; photosensitizing agent; piketoprofen; plant toxin; porphyrin; pranoprofen; suprofen; zidometacin; zomepirac; neutral red; photosensitizing agent; 3T3 cell line; animal cell; animal tissue; Article; Bayesian learning; chemical fingerprinting; comparative study; computer model; controlled study; deep neural network; density functional theory; drug identification; eye toxicity; food contamination; human; in vitro study; lipid peroxidation; mathematical computing; mouse; nonhuman; pharmacophore; photoactivation; photocytotoxicity; photosensitization; phototoxicity; physical chemistry; quantum chemistry; random forest; retina tissue; risk assessment; skin toxicity; toxicity testing; ultraviolet B radiation; ultraviolet visible spectroscopy; uptake assay; animal; bioassay; contact dermatitis; machine learning; metabolism; theoretical model</t>
  </si>
  <si>
    <t xml:space="preserve">Boosting Machine Learning Algorithms; Humans; Ligands; Machine Learning; Prealbumin; Prediction Algorithms; Protein Binding; transthyretin; ligand; protein binding; transthyretin; TTR protein, human; Article; chemical analysis; conformation; decision making; ligand binding; machine learning algorithm; prediction; predictive model; process development; process optimization; risk assessment; standard; boosting machine learning algorithm; chemistry; human; machine learning; metabolism; prediction algorithm</t>
  </si>
  <si>
    <t xml:space="preserve">Explainable artificial intelligence (XAI); Molecular descriptor; PFAS toxicity prediction; SHAP analysis; XGBoost</t>
  </si>
  <si>
    <t xml:space="preserve">Decision trees; Deep neural networks; Describing functions; Learning systems; Prediction models; Support vector machines; Toxicity; Explainable artificial intelligence (XAI); Machine-learning; Molecular descriptors; Polyfluoroalkyl substance toxicity prediction; Polyfluoroalkyl substances; Shapley; Shapley additive explanation analyze; Toxicity assessment; Toxicity predictions; Xgboost; Forecasting</t>
  </si>
  <si>
    <t xml:space="preserve">Compute Time; Graph Neural Networks (GNNs); Molecular Property Prediction (MPP); Molecular Representation; PHYSPROP; Random Splitting; Scaffold Splitting; Shallow Models</t>
  </si>
  <si>
    <t xml:space="preserve">ECOSAR; Ecotoxicity; Pharmaceutical; QSAR; Ranking; Validation</t>
  </si>
  <si>
    <t xml:space="preserve">Animals; Aquatic Organisms; Chlorophyceae; Consensus; Cyprinidae; Daphnia; Databases, Factual; Ecotoxicology; Oncorhynchus mykiss; Organic Chemicals; Pharmaceutical Preparations; Quantitative Structure-Activity Relationship; Toxicity Tests; Water Pollutants, Chemical; Daphnia magna; Oncorhynchus mykiss; Pimephales promelas; Selenastrum capricornutum; toxic substance; drug; organic compound; aquatic organism; crustacean; cyprinid; database; drug; ecotoxicology; microalga; numerical model; ranking; regression analysis; salmonid; toxicity; acute toxicity; Article; concentration (parameters); controlled study; Daphnia magna; drug database; ecotoxicity; environmental monitoring; environmental policy; genetic algorithm; lipophilicity; nonhuman; Oncorhynchus mykiss; partial least squares regression; persistent organic pollutant; Pimephales promelas; predictive value; quantitative structure activity relation; Selenastrum capricornutum; two dimensional quantitative structure activity relationship; water pollution; animal; aquatic species; Chlorophyceae; consensus; Cyprinidae; Daphnia; drug effect; ecotoxicology; factual database; toxicity; toxicity testing; water pollutant</t>
  </si>
  <si>
    <t xml:space="preserve">Computational toxicology; Data-driven; Green toxicology; SHapley additive exPlanations; Toxic industrial chemicals; Toxicoinformatics</t>
  </si>
  <si>
    <t xml:space="preserve">Artificial Intelligence; Boosting Machine Learning Algorithms; Hazardous Substances; Humans; Quantitative Structure-Activity Relationship; Random Forest; Support Vector Machine; artificial intelligence; boosting machine learning algorithm; chemistry; dangerous goods; human; quantitative structure activity relation; random forest; support vector machine; toxicity</t>
  </si>
  <si>
    <t xml:space="preserve">Animals; Databases, Factual; Drug-Induced Liver Injury; Hepatocyte Nuclear Factor 4; Male; Models, Statistical; Quantitative Structure-Activity Relationship; Rats; Rats, Sprague-Dawley; Small Molecule Libraries; Toxicogenetics; Rattus; accuracy; animal experiment; animal model; animal tissue; article; blood chemistry; chemical structure; genomics; histopathology; liver injury; liver toxicity; male; microarray analysis; nonhuman; quantitative structure activity relation; rat; toxicity testing; toxicogenomics</t>
  </si>
  <si>
    <t xml:space="preserve">Drug toxicity prediction; Graph transformer; Molecular fingerprint</t>
  </si>
  <si>
    <t xml:space="preserve">Animals; Drug Development; Drug Discovery; Learning; Reproducibility of Results; Forecasting; Graphic methods; Animal experiments; Clinical trial; Drug development; Drug toxicity prediction; Feature-based; Graph transformer; Molecular fingerprint; Molecular representations; Multilevels; Toxicity predictions; acute toxicity; Ames test; Article; chemical structure; diagnostic accuracy; drug development; drug safety; drug toxicity; feature extraction; LD50; machine learning; molecular fingerprinting; molfpg model; multilayer perceptron; nonhuman; animal; drug development; learning; reproducibility; Toxicity</t>
  </si>
  <si>
    <t xml:space="preserve">biotransformation pathways; environmental fate; graph neural networks; machine learning; metabolite toxicity; multigenerational assessment; QSAR modeling; toxicity prediction</t>
  </si>
  <si>
    <t xml:space="preserve">Applicability domain; Graph attention networks; Graph neural networks; PBT Chemicals; QSAR</t>
  </si>
  <si>
    <t xml:space="preserve">artificial intelligence; cardiotoxicity; graph neural network; halogen; hepatotoxicity; machine learning</t>
  </si>
  <si>
    <t xml:space="preserve">Halogenation; Humans; Machine Learning; Neural Networks, Computer; artificial neural network; halogenation; human; machine learning</t>
  </si>
  <si>
    <t xml:space="preserve">Applicability domain; Bayesian optimization; Explainability; Graph neural network; Quantitative structure activity relationships</t>
  </si>
  <si>
    <t xml:space="preserve">Bond strength (chemical); Computational chemistry; Degradation; Graph neural networks; Neural network models; functional group; sulfadimidine; hydroxyl radical; organic compound; Accurate prediction; Applicability domain; Bayesian optimization; Explainability; Graph neural networks; Hydroxyl radicals; Molecular descriptors; Molecular graphs; Pollutant degradation; Quantitative structure activity relationship; Bayesian analysis; error analysis; hydroxyl radical; mapping method; model validation; organic compound; quantitative analysis; arithmetic; Article; artificial intelligence; artificial neural network; chemical bond; chemical reaction; chemical structure; chemistry; convolutional neural network; cross validation; degradation; model; molecular fingerprinting; normal distribution; outlier detection; prediction; probability; solvation; article; artificial intelligence; drug analysis; drug development; machine learning; nerve cell network; quantitative structure activity relation; root mean squared error; Mean square error</t>
  </si>
  <si>
    <t xml:space="preserve">agrochemicals; Daphnia magna; logBCF; logCBR; logK&lt;sub&gt;OW&lt;/sub&gt;; pEC&lt;sub&gt;50&lt;/sub&gt;</t>
  </si>
  <si>
    <t xml:space="preserve">Agricultural chemicals; Computational chemistry; Least squares approximations; Molecular graphics; Toxicity; Aquatic toxicity; Bio-concentration factors; Critical body residue; Daphnia magna; Descriptors; Ecotoxicity; Logbcf; Logcbr; LogkOW; PEC50; Molecules</t>
  </si>
  <si>
    <t xml:space="preserve">Attention mechanism; Drug discovery; Molecular fingerprint; Motif-based graph; Mutagenicity prediction</t>
  </si>
  <si>
    <t xml:space="preserve">Algorithms; Deep Learning; Multilayer Perceptrons; Mutagenicity Tests; Mutagens; Prediction Algorithms; mutagenic agent; algorithm; chemistry; deep learning; multilayer perceptron; mutagen testing; prediction algorithm</t>
  </si>
  <si>
    <t xml:space="preserve">Boosting Machine Learning Algorithms; Models, Molecular; Neural Networks, Computer; Quantitative Structure-Activity Relationship; Bioactivity; Chemical activation; Complex networks; Computational chemistry; Deep learning; Deep reinforcement learning; Formal logic; Iterative methods; Learning algorithms; Molecular graphics; Chemical inputs; Descriptors; Entry system; Internal representation; Interpretability; Learning neural networks; Neural network model; Quantitative structure activity relationship; Quantitative structure-activity relationship modeling; Rule based; artificial neural network; boosting machine learning algorithm; molecular model; quantitative structure activity relation; Molecules</t>
  </si>
  <si>
    <t xml:space="preserve">Chemical structure identification; Chemical toxicity prediction; Environmental health and safety; Machine learning; Mass spectra</t>
  </si>
  <si>
    <t xml:space="preserve">Electrons; Machine Learning; Organic Chemicals; Quantitative Structure-Activity Relationship; Tetrahymena pyriformis; Chemical analysis; Computational chemistry; Forecasting; Health; Indicators (chemical); Industrial chemicals; Mass spectrometers; Mass spectrometry; Molecular graphics; Organic chemicals; Structure (composition); Toxicity; organic compound; organic compound; Chemical structure identification; Chemical toxicity; Chemical toxicity prediction; Electron ionization mass spectra; Environmental health and safety; Mass spectra; Quantitative structure-activity relationship modeling; Structure identification; Toxicity endpoints; Toxicity predictions; chemical pollutant; electron; inhibition; ionization; machine learning; organic pollutant; prediction; toxicity; Article; Bayesian learning; controlled study; convolutional neural network; electron impact mass spectrometry; experimental toxicity; experimentation; growth inhibition; k nearest neighbor; liver toxicity; machine learning; nonhuman; prediction; ridge regression; support vector machine; Tetrahymena pyriformis; electron; machine learning; quantitative structure activity relation; Tetrahymena pyriformis; Machine learning</t>
  </si>
  <si>
    <t xml:space="preserve">Aquatic ecotoxicology; Explainable deep learning; Molecular representation; Toxicity mechanism interpretation; Toxicity prediction</t>
  </si>
  <si>
    <t xml:space="preserve">Animals; Daphnia; Graph Neural Networks; Lethal Dose 50; Machine Learning; Neural Networks, Computer; Toxicity Tests; Water Pollutants, Chemical; Chemical hazards; Deep neural networks; Graph neural networks; Graph structures; Graphic methods; Learning systems; Molecular structure; Toxicity; chemical compound; dimpylate; functional group; malathion; toxic substance; water; Aquatic ecotoxicology; Daphnia; Eco-toxicology; Explainable deep learning; Graph neural networks; Graph representation; Molecular representations; Toxicity mechanism interpretation; Toxicity mechanisms; Toxicity predictions; artificial neural network; crustacean; detection method; ecotoxicology; machine learning; molecular analysis; toxicity; water quality; acute toxicity; Article; artificial neural network; benchmarking; Ceriodaphnia; chemical accident; chemical structure; controlled study; convolutional neural network; Daphnia; Daphnia magna; deep learning; ecotoxicology; environmental factor; evaluation study; explainable artificial intelligence; facial expression; graph neural network; hydrogen bond; LC50; lethal concentration; machine learning; Moina; molecular weight; nerve cell network; nonhuman; performance; pH; physical chemistry; prediction; predictive model; quality control; quantitative structure activity relation; risk assessment; Shapley additive explanation; task performance; water quality; animal; artificial neural network; drug effect; graph neural network; LD50; procedures; toxicity; toxicity testing; water pollutant; Forecasting</t>
  </si>
  <si>
    <t xml:space="preserve">Biodegradable substances; C5.0 decision tree; Discrimination analysis; K-nearest neighbors; Machine learning; QSAR; Random trees; Support vector machine</t>
  </si>
  <si>
    <t xml:space="preserve">Algorithms; Decision Trees; Discriminant Analysis; Humans; Machine Learning; ROC Curve; Support Vector Machine; algorithm; biodegradation; classification; machine learning; nearest neighbor analysis; numerical model; support vector machine; article; biodegradation; bootstrapping; California; decision tree; k nearest neighbor; machine learning; quantitative structure activity relation; receiver operating characteristic; sensitivity and specificity; support vector machine; algorithm; discriminant analysis; human; machine learning</t>
  </si>
  <si>
    <t xml:space="preserve">Breast cancer; cytotoxicity; MCF7; Monte Carlo; phenylindole; QSAR</t>
  </si>
  <si>
    <t xml:space="preserve">Animals; Hydrocarbons, Aromatic; Lethal Dose 50; Molecular Structure; Monte Carlo Method; Nitro Compounds; Quantitative Structure-Activity Relationship; Rats; aromatic nitro compound; hydrogen; aromatic hydrocarbon; nitro derivative; Article; calculation; comparative study; consensus development; controlled study; in vivo study; LD50; molecular fingerprinting; Monte Carlo method; priority journal; quantitative structure activity relation; quantitative structure toxicity relationship; animal; chemical structure; chemistry; Monte Carlo method; quantitative structure activity relation; rat</t>
  </si>
  <si>
    <t xml:space="preserve">3D molecular surface electrostatic potential point cloud; chemical toxicity classification; data imbalance; deep learning; estrogen receptor agonist activity; model visualization</t>
  </si>
  <si>
    <t xml:space="preserve">Estrogens; Humans; Quantitative Structure-Activity Relationship; Static Electricity; Chemicals; Deep learning; Electrostatics; Isomers; Molecular graphics; Software testing; Toxicity; estrogen; estrogen receptor; estrogen; Electrostatic potentials; Environmental estrogens; Geometric data structures; Machine learning models; Molecular electrostatic potentials; Quantitative structure-activity relationship studies; Structural descriptions; Threedimensional (3-d); concentration (composition); detection method; estrogenic compound; three-dimensional modeling; toxicity; Article; artificial intelligence; big data; biochemistry; chemical structure; controlled study; data quality; deep learning; density functional theory; ecotoxicity; machine learning; molecular recognition; nerve cell; quantitative structure activity relation; surface property; human; quantitative structure activity relation; static electricity; Computational chemistry</t>
  </si>
  <si>
    <t xml:space="preserve">Artificial Intelligence; Computer Simulation; Databases, Pharmaceutical; Models, Biological; Mutagens; Quantitative Structure-Activity Relationship; Benchmarking; Computational chemistry; Decision trees; Forecasting; Predictive analytics; Random forests; mutagenic agent; Molecular fingerprint; Molecular fragments; Molecular structural; Mutagenic compounds; Prediction accuracy; Proprietary software; Quantitative structure-activity relationships; Tanimoto distances; artificial intelligence; biological model; chemistry; computer simulation; drug database; quantitative structure activity relation; toxicity; Learning systems</t>
  </si>
  <si>
    <t xml:space="preserve">Deep learning; Drug discovery and development; Ecotoxicology; Liver toxicity; Protein toxicity; Reproduction toxicity; Toxicity prediction</t>
  </si>
  <si>
    <t xml:space="preserve">Cell proliferation; Drug discovery; Drug products; Forecasting; Graph neural networks; Learning systems; Molecular structure; Network architecture; Toxicity; Deep learning; Drug development; Drug discovery; Eco-toxicology; Learning models; Liver toxicity; Molecular toxicities; Protein toxicity; Reproduction toxicity; Toxicity predictions; Deep learning</t>
  </si>
  <si>
    <t xml:space="preserve">adverse drug reaction; deep learning; machine learning; neural networks; sider database</t>
  </si>
  <si>
    <t xml:space="preserve">Deep neural networks; Drug interactions; Feedforward neural networks; Hydrolysis; Input output programs; Organometallics; Photoionization; Photolysis; Resins; Adverse drug reactions; Convolutional neural network; Deep learning; Feed forward; Machine learning models; Machine-learning; Molecular descriptors; Neural-networks; Random forests; Sider database; Convolutional neural networks</t>
  </si>
  <si>
    <t xml:space="preserve">Deep neural network; HO[rad] radical; Machine learning; Model interpretation; QSARs; XGBoost</t>
  </si>
  <si>
    <t xml:space="preserve">Computational chemistry; Deep learning; Deep neural networks; Forecasting; Knowledge management; Mean square error; Molecular graphics; Organic compounds; Statistical tests; Group contribution method; Machine learning models; Mean absolute error; Molecular descriptors; Molecular fingerprint; Predictive performance; Quantitative structure-activity relationships; Root mean squared errors; Learning systems</t>
  </si>
  <si>
    <t xml:space="preserve">Chemical Structure; Developing good quantitative structure-activity relationship (QSAR); Molecular Fingerprint; Tox21 Challenge; Toxicity Prediction</t>
  </si>
  <si>
    <t xml:space="preserve">Bioinformatics; Computational chemistry; Forecasting; Indicators (chemical); Molecular graphics; Surveys; Building model; Chemical toxicity; Clinical trial; Environmental chemicals; Molecular fingerprint; Prediction model; Predictive modeling; Toxicity predictions; Toxicity</t>
  </si>
  <si>
    <t xml:space="preserve">graph neural networks; knowledge graph; molecular toxicity prediction; Tox21</t>
  </si>
  <si>
    <t xml:space="preserve">toxic substance; adverse outcome; Article; bioassay; chemical structure; comparative study; feature extraction; graph neural network; knowledge graph; molecular fingerprinting; prediction; receiver operating characteristic; risk assessment; sensitivity and specificity; signal transduction; toxicity</t>
  </si>
  <si>
    <t xml:space="preserve">acute dermal toxicity; EosCloud; explainable predictions; machine learning; molecular representations; SbD4Skin; skin irritation; Skin sensitization</t>
  </si>
  <si>
    <t xml:space="preserve">Acceptance tests; Animals; Behavioral research; Decision making; Health risks; Learning algorithms; Nearest neighbor search; Neural networks; Skin; Support vector machines; Toxicity; Transparency; irritant agent; toxic substance; Acute dermal toxicity; Animal testing; Eoscloud; Explainable prediction; Machine-learning; Molecular representations; Multi-views; Sbd4skin; Skin irritation; Skin sensitization; area under the curve; Article; chemical structure; controlled study; decision making; fully connected neural network; human; information processing; Internet; k nearest neighbor; machine learning; machine learning algorithm; predictive model; quantitative structure activity relation; random forest; risk assessment; sbd4skin; Shapley additive explanation; skin irritation; skin sensitization; skin toxicity; support vector machine; Forecasting; Learning systems; Risk assessment</t>
  </si>
  <si>
    <t xml:space="preserve">Chemical risk assessment; Ecotoxicity; Hazardous concentration; Machine learning; QSPR; USEtox</t>
  </si>
  <si>
    <t xml:space="preserve">drug development; large language model; machine learning; neurotoxicity; SHAP interpretability</t>
  </si>
  <si>
    <t xml:space="preserve">Brain; Humans; Machine Learning; Neurotoxicity Syndromes; brain; drug effect; etiology; human; machine learning; neurotoxicity</t>
  </si>
  <si>
    <t xml:space="preserve">artificial neural network; deep learning; fingerprint; grey wolf algorithm; toxicity prediction</t>
  </si>
  <si>
    <t xml:space="preserve">Deep learning; Diagnosis; Forecasting; Learning systems; Neural networks; Artificial neural network methods; Deep learning; Fingerprint; Gray wolf algorithm; Gray wolves; High throughput screening; Living things; Machine learning methods; Optimisations; Toxicity predictions; Toxicity</t>
  </si>
  <si>
    <t xml:space="preserve">Ensemble models; Toxicity prediction; Virtual screening</t>
  </si>
  <si>
    <t xml:space="preserve">Bioactivity; Computational chemistry; Forecasting; Molecular graphics; Network architecture; Neural networks; cell nucleus receptor; cytokine; hydrolase; proteins by physicochemical property; toxic substance; Bioactivity prediction; Convolutional neural network; Ensemble models; Gradient boosting; Machine learning approaches; Molecular activities; Pharmaceutical industry; Toxic compounds; Toxicity predictions; Virtual Screening; algorithm; area under the curve; Article; artificial neural network; bioassay; biological activity; cell cycle; cell stress; cell structure; cellular stress response; chemical bond; data base; diagnostic test accuracy study; DNA binding; DNA damage; drug screening; entropy; heat shock response; machine learning; molecular dynamics; molecular weight; nonhuman; oxidative stress; predictor variable; priority journal; quantitative structure activity relation; reliability; solubility; toxcast; toxicity; Toxicity</t>
  </si>
  <si>
    <t xml:space="preserve">ecotoxicology; explainable machine learning; gas-phase chemicals; mathematical models; QSAR; SHapley additive exPlanations</t>
  </si>
  <si>
    <t xml:space="preserve">Air Pollutants; Gases; Humans; Quantitative Structure-Activity Relationship; Volatile Organic Compounds; aromatic amine; bromine; carbon; carbonyl derivative; chlorine; fluorine; fluoroform; glyceryl trinitrate; halogen; halogenated hydrocarbon; hydroxyl group; inert gas; iodine; isocyanate; nitrogen; organophosphate; oxygen; plastic; sulfur dioxide; toxic gas; volatile agent; volatile organic compound; agriculture; Article; Bayesian network; boiling point; chemical safety; cost effectiveness analysis; ecotoxicology; environmental monitoring; environmental temperature; explainable machine learning; false negative result; false positive result; logistic regression analysis; lung toxicity; machine learning; machine learning algorithm; mathematical model; metallurgy; molecular weight; molecule; multilayer perceptron; outlier detection; partial least squares regression; prediction; predictive model; quantitative structure activity relation; random forest; Shapley additive explanation; supervised machine learning; vapor pressure; vision; air pollutant; chemistry; gas; human; toxicity</t>
  </si>
  <si>
    <t xml:space="preserve">Challenge; Classification; Competition; Random forest; Tox21; Toxicity</t>
  </si>
  <si>
    <t xml:space="preserve">biological effects; emerging pollutants; machine learning; quantitative structure-activity relationship(QSAR)</t>
  </si>
  <si>
    <t xml:space="preserve">Cytotoxicity; Data augmentation; Machine learning; Microplastics; QSAR</t>
  </si>
  <si>
    <t xml:space="preserve">Machine Learning; Metabolomics; Microplastics; Quantitative Structure-Activity Relationship; Risk Assessment; Toxicity Tests; Water Pollutants, Chemical; microplastic; microplastic; data set; machine learning; metabolism; polymer; prediction; toxicity; algorithm; area under the curve; Article; biological activity; computer model; cytotoxicity; decision tree; drug toxicity; environmental exposure; gene expression; glycolysis; high performance liquid chromatography; laser Doppler flowmetry; learning algorithm; liquid chromatography-mass spectrometry; machine learning; metabolomics; photon correlation spectroscopy; predictive model; quantitative structure activity relation; random forest; risk assessment; scanning electron microscopy; simulation; structure activity relation; support vector machine; toxicity testing; ultra performance liquid chromatography; zeta potential; procedures; toxicity; water pollutant</t>
  </si>
  <si>
    <t xml:space="preserve">Consensus modeling; Endocrine disrupting chemicals; Machine learning; Multitasking models; QSTR</t>
  </si>
  <si>
    <t xml:space="preserve">Endocrine Disruptors; Endocrine System; Machine Learning; Quantitative Structure-Activity Relationship; Endocrine disrupters; Forecasting; Multitasking; Risk assessment; aldehyde; aromatic hydroxy; endocrine disruptor; functional groups containing oxygen; unclassified drug; Biological species; Consensus models; Ecotoxicity; Endocrine disrupting chemicals; Endocrine disruptive chemicals; Global models; In-silico; Machine-learning; Multitasking model; QSTR; endocrine disruptor; environmental risk; machine learning; prediction; toxicity; Article; biodiversity; computer model; controlled study; ecological diversity; ecotoxicity; environmental risk; health hazard; machine learning; molecular weight; multitasking quantitative structure toxicity relationship model; nonbiological model; nonhuman; open access; prediction; risk assessment; solvation; statistical model; surface area; toxicity testing; endocrine system; quantitative structure activity relation; Machine learning</t>
  </si>
  <si>
    <t xml:space="preserve">Interpreting analysis; Machine learning; QSAR; Toxicity prediction</t>
  </si>
  <si>
    <t xml:space="preserve">Computational methods; Health risks; Indicators (chemical); Industrial chemicals; Learning algorithms; Learning systems; Nearest neighbor search; Organic chemicals; Risk assessment; Risk management; Support vector machines; Throughput; Toxicity; High-throughput; Interpreting analyze; Machine-learning; Nearest-neighbour; Organics; QSAR; Random forests; Support vectors machine; Tetrahymena pyriformis; Toxicity predictions; Forecasting</t>
  </si>
  <si>
    <t xml:space="preserve">Drug discovery; Machine learning; Molecular fingerprints; Toxicity prediction; XGBoost</t>
  </si>
  <si>
    <t xml:space="preserve">Drug discovery; Drug products; Forecasting; Intelligent systems; Learning algorithms; Support vector machines; Toxicity; Biological effects; Drug candidates; Drug discovery; Late stage; Machine learning models; Machine-learning; Molecular fingerprint; Toxic compounds; Toxicity predictions; Xgboost; Learning systems</t>
  </si>
  <si>
    <t xml:space="preserve">Animals; Chemistry, Pharmaceutical; Computational Chemistry; Datasets as Topic; Deep Learning; Humans; Organic Chemicals; Supervised Machine Learning; cytochrome P450 2D6; macrocyclic compound; organic compound; accuracy; algorithm; animal cell; Article; convolutional neural network; cross validation; deep learning; dog; drug absorption; drug distribution; drug elimination; drug metabolism; drug toxicity; enzyme inhibition; half life time; high performance liquid chromatography; human; human cell; lipid bilayer; liver cell; machine learning; membrane permeability; molecular weight; nonhuman; physical chemistry; plasma protein binding; prediction; random forest; rat; supervised machine learning; volume of distribution; animal; information processing; medicinal chemistry; procedures; supervised machine learning</t>
  </si>
  <si>
    <t xml:space="preserve">Advanced oxidation processes; Deep learning; Emerging pollutants; Structure–toxicity relationships; Transformation products</t>
  </si>
  <si>
    <t xml:space="preserve">Deep Learning; Oxidation-Reduction; Quantitative Structure-Activity Relationship; Water Pollutants, Chemical; Assays; Byproducts; Cell membranes; Learning systems; Linear transformations; Molecular graphics; Quality control; Quality management; Risk perception; Toxicity; Transfer learning; Water pollution; Water quality; Water treatment; cell nucleus receptor; hydrogen peroxide; Advanced Oxidation Processes; Chemical pollutants; Deep learning; Emerging pollutants; In-vitro assays; Nuclear receptors; Stresses response; Structure–toxicity relationship; Toxicity assessment; Transformation products; chemical pollutant; ecotoxicology; machine learning; oxidation; transformation; water quality; water treatment; Article; carcinogenicity; cardiotoxicity; controlled study; deep learning; degradation; density functional theory; environmental decision making; environmental risk; feature attribution analysis; graph neural network; in vitro study; lung toxicity; mathematical analysis; mutagenicity; oxidation; physiological stress; process optimization; risk assessment; screening; stereochemistry; three-dimensional imaging; transfer learning (machine learning); water pollutant; water quality; water treatment; chemistry; oxidation reduction reaction; quantitative structure activity relation; toxicity; Deep learning</t>
  </si>
  <si>
    <t xml:space="preserve">Aquatic toxicity; Contrastive learning; Deep learning; Multi-task model; Self-supervised learning</t>
  </si>
  <si>
    <t xml:space="preserve">Aquatic Organisms; Deep Learning; Neural Networks, Computer; Supervised Machine Learning; Water Pollutants, Chemical; aquatic environment; aquatic organism; chemical substance; habitat fragmentation; modeling; prediction; supervised learning; toxicity; accuracy; aquatic toxicity; area under the curve; Article; contrastive learning; controlled study; Cyprinodon variegatus; deep learning; diagnostic test accuracy study; entropy; graph neural network; LC50; learning; Lepomis macrochirus; machine learning; molecular fingerprinting; nerve cell network; nonhuman; Oncorhynchus mykiss; Pimephales promelas; prediction; receiver operating characteristic; support vector machine; toxicity testing; aquatic species; artificial neural network; drug effect; supervised machine learning; toxicity; water pollutant</t>
  </si>
  <si>
    <t xml:space="preserve">ADMET; Machine learning; Molecular fingerprints</t>
  </si>
  <si>
    <t xml:space="preserve">Contrastive learning; Graph neural networks; Interpretability; Pesticide ecotoxicity</t>
  </si>
  <si>
    <t xml:space="preserve">Ecotoxicology; Machine Learning; Pesticides; Adversarial machine learning; Prediction models; pesticide; Animal testing; Ecotoxicity; Ethical concerns; Graph neural networks; High costs; Interpretability; Overfitting; Pesticide ecotoxicity; Pre-training; Predictive models; artificial neural network; concentration (composition); ecotoxicology; learning; molecular ecology; pesticide; toxicology; alga; Article; bird; controlled study; ecotoxicity; fish; insect; learning; nonhuman; ecotoxicology; machine learning; Contrastive Learning</t>
  </si>
  <si>
    <t xml:space="preserve">Bioaccumulation; Environmental risk assessment; Halogen; Machine learning; Model explanation; Persistent; Structure–toxicity relationship</t>
  </si>
  <si>
    <t xml:space="preserve">Machine learning; Molecular descriptor; Nuclear receptor; Prediction model; Stress response pathway</t>
  </si>
  <si>
    <t xml:space="preserve">Algorithms; Animals; Computational Biology; Databases, Chemical; Endocrine Disruptors; Humans; Internet; Machine Learning; Molecular Structure; Quantitative Structure-Activity Relationship; endocrine disruptor; endocrine disruptor; algorithm; Article; chemical structure; computer model; machine learning; prediction; quantitative structure activity relation; toxicity testing; animal; biology; chemical database; chemical structure; chemistry; human; Internet; procedures</t>
  </si>
  <si>
    <t xml:space="preserve">Acute toxicity; Human; QSAR; RASAR; Risk assessment; Screening</t>
  </si>
  <si>
    <t xml:space="preserve">Humans; Pesticides; Quantitative Structure-Activity Relationship; Risk Assessment; almonertinib; ANTU; beclabuvir; bioresmethrin; centanafadine; ceralasertib; coumithoate; cypyrafluone; indazapyroxamet; lesinurad; organic compound; pesticide; pyrapropoyne; resmethrin; rostaporfin; sagopilone; silver nanoparticle; tuspetinib; unclassified drug; vinorelbine tartrate; pesticide; acute toxicity; Article; carbon carbon bond; dangerous goods; dermis; endocrine disruption; environmental exposure; feature selection; health hazard; human; ingestion; inhalation; malignant neoplasm; neurotoxicity; partial least squares regression; prediction; quantitative structure activity relation; randomization; regression analysis; risk assessment; screening; software; validation study; chemistry; comparative study; risk assessment</t>
  </si>
  <si>
    <t xml:space="preserve">eChemPortalDB; Machine learning; New appraoch methodologies; OECD Test guideline</t>
  </si>
  <si>
    <t xml:space="preserve">Adaptive boosting; Decision trees; Forecasting; Indicators (chemical); Learning systems; Logistic regression; Machine learning; Random forests; Toxicity; biocide; Chemical products; Chemical risk assessment; Echemportaldb; Ecotoxicity; F1 scores; In-vivo; Machine learning models; Machine-learning; New appraoch methodology; OECD test guideline; acute toxicity; algorithm; area under the curve; Article; artificial intelligence; carcinogenicity; controlled study; decision tree; diagnostic test accuracy study; ecotoxicity; genotoxicity; human; LC50; LD50; logistic regression analysis; machine learning; molecular fingerprinting; mutagenicity; prediction; random forest; receiver operating characteristic; reproductive toxicity; risk assessment; training; Risk assessment</t>
  </si>
  <si>
    <t xml:space="preserve">Chronic toxicity; DrugBank; LOAEL; Pharmaceuticals; PLS; QSAR</t>
  </si>
  <si>
    <t xml:space="preserve">Chemical bonds; Computational chemistry; Genetic algorithms; Least squares approximations; Molecular graphics; Toxicity; chemical compound; organic compound; phosphate; Adverse effect; Chronic toxicity; Descriptors; Drugbank; Experimental test; Human health; Low observed adverse effect level; Partial least-squares; QSAR; QSAR modeling; Article; chemical structure; chronic toxicity; comparative study; genetic algorithm; lipophilicity; model; nonhuman; partial least squares regression; prediction; predictive value; quantitative structure activity relation; randomization; rat; receiver operating characteristic; reliability; training; validation process; Organic chemicals</t>
  </si>
  <si>
    <t xml:space="preserve">Artificial Intelligence; Biodegradation, Environmental; Environmental Monitoring; Environmental Pollutants; Environmental Pollution; Models, Chemical; Organic Chemicals; Quantitative Structure-Activity Relationship; organic compound; organic compound; Descriptors; Environmental pollutions; Gradient boosting; High specificity; Hybrid intelligence; Multimodal integration; Network structures; Organics; Quantitative structure-activity relationship modeling; Stackings; Article; attention network; biodegradability; chirality; conjugation; ensemble learning; environmental impact; graph attention network; performance indicator; pollution; quantitative structure activity relation; random forest; regulatory compliance; stereochemistry; sustainable development; artificial intelligence; bioremediation; chemical model; environmental monitoring; metabolism; pollutant; procedures; Decision trees</t>
  </si>
  <si>
    <t xml:space="preserve">multicondition descriptors; multiple assays; predictive model; QSTR; toxicity</t>
  </si>
  <si>
    <t xml:space="preserve">Animals; Machine Learning; Neural Networks, Computer; Organic Chemicals; Quantitative Structure-Activity Relationship; Toxicity Tests; Machine learning; Toxicity; Van der Waals forces; carbon; nitrogen; organic compound; phosphorus; sulfur; Convolutional neural network; Descriptors; End-points; Machine learning models; Multicondition descriptor; Multiple assays; Predictive models; Quantitative structure-toxicity relationship; Quantitative structures; Toxicity assessment; complexity; machine learning; surface area; toxicity; acute toxicity; Article; convolutional neural network; ionization; machine learning; nonhuman; quantitative structure activity relation; surface area; toxicity testing; animal; artificial neural network; chemistry; machine learning; toxicity testing; Ionization potential</t>
  </si>
  <si>
    <t xml:space="preserve">Amines; Animals; Benchmarking; Chemical Safety; Drug Development; Knowledge; amine; animal; benchmarking; chemical safety; drug development; knowledge</t>
  </si>
  <si>
    <t xml:space="preserve">drug behavior; enrichment analysis; feature selection; high-throughput screening; machine learning; proteomic signature; random forest; structure–activity relationships; toxicity</t>
  </si>
  <si>
    <t xml:space="preserve">Algorithms; Drug Discovery; Humans; Machine Learning; Proteins; Proteomics; protein; algorithm; drug development; human; machine learning; procedures; proteomics</t>
  </si>
  <si>
    <t xml:space="preserve">analytical-descriptor-based model; gas chromatography-electron-impact ionization-mass spectrometry (GC-EI-MS); mass spectra; quantitative structure–activity relationship (QSAR); t-distributed stochastic neighbor embedding (t-SNE); unknown chemicals</t>
  </si>
  <si>
    <t xml:space="preserve">analytical descriptor based quantitative structure activity relationship; Article; boiling point; cluster analysis; comparative study; electron impact mass spectrometry; gas chromatography; gas chromatography electron impact ionization mass spectrometry; melting point; mining structural information; molecular biology; molecular weight; oral toxicity; physical chemistry; prediction; process optimization; quantitative analysis; quantitative structure activity relation; structure analysis; toxicity; validation process; water solubility</t>
  </si>
  <si>
    <t xml:space="preserve">Administration, Oral; Automation; Informatics; Lethal Dose 50; Machine Learning; Models, Statistical; Regression Analysis; Toxicity Tests; Convolutional neural networks; Forecasting; Learning systems; Network architecture; Predictive analytics; Regression analysis; Testing; Toxicity; Forward-and-backward; Learning architectures; Machine learning methods; Mean absolute error; Multi-class models; Multi-classification; Prediction accuracy; Toxicity predictions; automation; information science; LD50; machine learning; oral drug administration; procedures; regression analysis; statistical model; toxicity testing; Deep learning</t>
  </si>
  <si>
    <t xml:space="preserve">Medicinal chemistry; Chemical compositions; Complex chemicals; Descriptors; Electron ionization mass spectra; Machine-learning; Mass spectra; Quantitative structure-activity relationship modeling; Therapeutic properties; Toxic components; Traditional Chinese Medicine; Molecular dynamics</t>
  </si>
  <si>
    <t xml:space="preserve">acute exposure guideline levels; model prediction; quantitative structure activity relationship</t>
  </si>
  <si>
    <t xml:space="preserve">Algorithms; Decision Trees; Environmental Exposure; Hazardous Substances; Humans; Quantitative Structure-Activity Relationship; United States; United States Environmental Protection Agency; Aliphatic compounds; Artificial life; Computational chemistry; Decision trees; Environmental Protection Agency; Forecasting; Forestry; Genetic algorithms; Life cycle; Mean square error; Molecular graphics; Prediction models; Statistical tests; Structures (built objects); Toxicity; aliphatic compound; Acute Exposure Guideline Levels; Aliphatic compound; Error values; Gradient boosting; Model prediction; Performance; Quantitative structure activity relationship; Randomized trees; Test sets; Training sets; chemical composition; chemical compound; concentration (composition); quantitative analysis; toxicity; Article; chemical structure; controlled study; decision tree; dimensionality reduction; environmental protection; genetic algorithm; human; mean absolute error; practice guideline; prediction; quantitative structure activity relation; root mean squared error; short term exposure; algorithm; chemistry; dangerous goods; environmental exposure; government; toxicity; United States; Digital storage</t>
  </si>
  <si>
    <t xml:space="preserve">LD&lt;sub&gt;50&lt;/sub&gt;; emerging contaminants; Machine learning; rats; toxicity mechanism; toxicity prediction</t>
  </si>
  <si>
    <t xml:space="preserve">Administration, Oral; Animals; Environmental Pollutants; Lethal Dose 50; Machine Learning; Quantitative Structure-Activity Relationship; Rats; Toxicity Tests, Acute; Chemical bonds; Computational chemistry; Computational methods; Contamination; Electronegativity; Forecasting; Impurities; Learning systems; Machine learning; Molecular graphics; Rating; Structures (built objects); Toxicity; Chemical safety; Emerging contaminant; Globally harmonized system; LD50;; Machine learning models; Machine-learning; Multi-domains; Structure-activity relationships; Toxicity mechanisms; Toxicity predictions; animal; chemistry; LD50; machine learning; oral drug administration; pollutant; procedures; quantitative structure activity relation; rat; toxicity; toxicity testing; Rats</t>
  </si>
  <si>
    <t xml:space="preserve">Chemoinformatics; Classification models; Machine leaning; Permeability; Regression model; Solubility; Toxicity prediction</t>
  </si>
  <si>
    <t xml:space="preserve">toxin; aqueous solution; Article; atom; classification algorithm; correlational study; machine learning; metabolite; permeability; prediction; process optimization; solubility; toxicity; validation study; web browser</t>
  </si>
  <si>
    <t xml:space="preserve">Algorithms; Animals; Computational Biology; Databases, Chemical; Deep Learning; Endocrine Disruptors; Humans; Machine Learning; Mice; Models, Statistical; Protein Binding; Receptors, Estrogen; beta lactamase; estrogen receptor alpha; estrogen receptor beta; messenger RNA; endocrine disruptor; estrogen receptor; protein binding; accuracy; Article; assay; binding affinity; cross validation; deep learning; deep neural network; human; in vitro study; machine learning; prediction; priority journal; quantitative structure activity relation; receptor binding; toxicity testing; validation study; algorithm; animal; biology; chemical database; drug effect; metabolism; mouse; statistical model</t>
  </si>
  <si>
    <t xml:space="preserve">Artificial intelligence; Machine learning; QSAR; Toxicity</t>
  </si>
  <si>
    <t xml:space="preserve">Machine learning; Molecular dynamics simulation; Molecular representation; PFAS; Risk assessment</t>
  </si>
  <si>
    <t xml:space="preserve">Fluorocarbons; Machine Learning; Quantitative Structure-Activity Relationship; Water Pollutants, Chemical; alkyl group; ataxin 2; camptothecin; phosphodiesterase I; Smad3 protein; transcription factor Nrf2; fluorocarbon; Descriptors; Dynamics simulation; Machine learning models; Machine-learning; Molecular dynamic simulation; Molecular representations; Molecular surfaces; Polyfluoroalkyl substances; Quantitative structure-activity relationship modeling; Risks assessments; bioactivity; chemical substance; computer simulation; ecotoxicology; machine learning; molecular analysis; prediction; quantitative analysis; risk assessment; water quality; area under the curve; Article; biological activity; clinical decision making; controlled study; density; environmental management; explainable machine learning; machine learning; molecular docking; molecular dynamics; receiver operating characteristic; surface analysis; surface area; water monitoring; chemistry; machine learning; quantitative structure activity relation; water pollutant; Health risks</t>
  </si>
  <si>
    <t xml:space="preserve">air half-life; machine learning; molecular descriptors; persistent organic pollutants; quantitative structure–activity relationships</t>
  </si>
  <si>
    <t xml:space="preserve">air; article; dipole; electric potential; environmental impact; half life time; human; machine learning; multiple linear regression analysis; nonhuman; partial least squares regression; persistent organic pollutant; quantitative structure activity relation</t>
  </si>
  <si>
    <t xml:space="preserve">Computational toxicology; Machine learning; Prioritization rank; Risk assessment; Structural alerts</t>
  </si>
  <si>
    <t xml:space="preserve">Algorithms; Ecosystem; Hazardous Substances; Machine Learning; Quantitative Structure-Activity Relationship; Software; Aquatic ecosystems; Binary trees; Chemicals; Deep learning; Forecasting; Learning algorithms; Toxicity; chemical descriptor; chlorpyrifos; diflubenzuron; dimpylate; halogen; herbicide; oxygen; pesticide; phosphorus; sulfur; surfactant; unclassified drug; Adverse effect; Aquatic toxicity; Chronic toxicity; Computational toxicology; Forecast models; Machine-learning; Prioritization; Prioritization rank; Risks assessments; Structural alert; concentration (composition); ecotoxicology; forecasting method; identification method; machine learning; microorganism; model; prioritization; risk assessment; toxicity; algorithm; aquatic environment; area under the curve; Article; balanced accuracy; Bayesian network; chemical analysis; chemical polarity; chemical structure; chronic toxicity; cipridiopsis vidua; clinical feature; controlled study; decision tree; Ecological Structure Activity Relationships program; ecotoxicity; electronegativity; false positive rate; k nearest neighbor; learning algorithm; lipophilicity; machine learning; Matthews correlation coefficient; membrane structure; molecular fingerprinting; molecular volume; molecular weight; Mytilina bicarinate; no-observed-effect concentration; nonhuman; particulate matter; partition coefficient; physical chemistry; polarizability; pollutant; Polyarthra remata; predictive model; predictive value; PubChem; random forest; random tree model; receiver operating characteristic; Rotifera; support vector machine; Synchaeta pectinata; Tanimoto similarity index; toxicity testing; training; true positive rate; validation process; dangerous goods; ecosystem; machine learning; quantitative structure activity relation; software; Risk assessment</t>
  </si>
  <si>
    <t xml:space="preserve">Cytotoxicity; Deep neural networks; Phenols; QSAR; Risk assessment; Tetrahymena pyriformis</t>
  </si>
  <si>
    <t xml:space="preserve">Ecological risk; Graph attention network; Molecular descriptor; Molecular fingerprint; Species sensitivity distribution; XGBoost</t>
  </si>
  <si>
    <t xml:space="preserve">Environmental Pollutants; Machine Learning; Quantitative Structure-Activity Relationship; Reproducibility of Results; Risk Assessment; Aquatic organisms; Computational chemistry; Machine learning; Molecular graphics; Risk assessment; Toxicity; 4,4' isopropylidenediphenol; fresh water; Chronic toxicity; Ecological risks; Exposure durations; Graph attention network; Machine-learning; Molecular descriptors; Molecular fingerprint; Molecular graphs; Species sensitivity distributions; Xgboost; chemical pollutant; freshwater ecosystem; machine learning; molecular analysis; risk assessment; software; toxicity; algorithm; aquatic biology; aquatic species; Article; attention network; chronic toxicity; computer model; concentration (parameter); controlled study; environmental exposure; environmental factor; environmental impact; feasibility study; hydrophilicity; lipophilicity; machine learning; metabolic fingerprinting; molecular biology; nonhuman; partition coefficient; prediction; quantitative structure property relation; risk assessment; validation study; water pollution; workflow; pollutant; quantitative structure activity relation; reproducibility; risk assessment; Computational efficiency</t>
  </si>
  <si>
    <t xml:space="preserve">bioaccumulation; cheminformatics; environmental risk assessment; PBT prediction; persistence; QSAR models; toxicity</t>
  </si>
  <si>
    <t xml:space="preserve">3D modeling; Biochemistry; Environmental protection; Forecasting; Graph neural networks; Graphic methods; Message passing; Molecular graphics; Molecules; Risk assessment; Scaffolds; Cheminformatics; Environmental risk assessment; Graph neural networks; Message-passing; Network models; Performance; Persistence; Persistence, bioaccumulation, and toxicity prediction; QSAR model; Toxicity predictions; Toxicity</t>
  </si>
  <si>
    <t xml:space="preserve">Adverse Drug Reactions (ADRs); Natural Language Processing (NLP); Quantum Machine Learning; Transformer; Variational Quantum Circuits</t>
  </si>
  <si>
    <t xml:space="preserve">Adversarial machine learning; Deep learning; Drug interactions; Photodissociation; Quantum electronics; Risk assessment; Zero-shot learning; Adverse drug reaction; Adverse drug reactions; Language processing; Machine-learning; Natural language processing; Natural languages; Quantum circuit; Quantum machine learning; Quantum machines; Transformer; Variational quantum circuit; Distribution functions</t>
  </si>
  <si>
    <t xml:space="preserve">controlled study; kernel method; Letter; machine learning; mathematical computing; mathematical model; priority journal; process development; process optimization; quantum mechanics</t>
  </si>
  <si>
    <t xml:space="preserve">Pauli Feature map; QML; QSVM; Quantum computing</t>
  </si>
  <si>
    <t xml:space="preserve">Classification (of information); Forestry; Learning algorithms; Learning systems; Machine learning; Remote sensing; Space optics; Feature map; Forest classification; Machine-learning; Pauli feature map; QML; QSVM; Quantum Computing; Quantum features; Quantum machines; Support vectors machine; Quantum computers</t>
  </si>
  <si>
    <t xml:space="preserve">Classification; Healthcare; Quantum Neural Network; Quantum Support Vector Machines; Variational Quantum Circuits</t>
  </si>
  <si>
    <t xml:space="preserve">Lung Cancer Prediction; Quantum Approximate Optimization Algorithm(QAOA) embedding; Quantum Kernel Support Vector Machine(QKSVM)</t>
  </si>
  <si>
    <t xml:space="preserve">Digital healthcare; Empirical quantum advantage; Quantum computing; Young early-onset colorectal cancer</t>
  </si>
  <si>
    <t xml:space="preserve">Chemotherapy; Classification (of information); Diseases; Forecasting; Quantum computers; Areas under the curves; Cancer data; Conventional methods; Digital healthcare; Empirical quantum advantage; Machine-learning; Quantum Computing; Receiver operating characteristic curves; Support vectors machine; Young early-onset colorectal cancer; Support vector machines</t>
  </si>
  <si>
    <t xml:space="preserve">graph neural networks; quantum approximate optimization algorithm; quantum computing; variational quantum circuits</t>
  </si>
  <si>
    <t xml:space="preserve">Graph algorithms; Learning systems; Neural networks; Optimization; Quantum entanglement; Quantum optics; Signal processing; Approximate optimization; Feature mapping; Features optimizations; Graph neural networks; Molecular classification; Optimization algorithms; Quantum approximate optimization algorithm; Quantum circuit; Quantum Computing; Variational quantum circuit; Quantum computers</t>
  </si>
  <si>
    <t xml:space="preserve">Ensemble learning; Explainable machine learning; Heart disease prediction; Machine learning; Quantum machine learning</t>
  </si>
  <si>
    <t xml:space="preserve">computational chemistry; molecular properties; NISQ devices; QM9 dataset; quantum kernels; quantum machine learning; support vector regression</t>
  </si>
  <si>
    <t xml:space="preserve">Drug discovery; Drug products; Forecasting; Learning systems; Machine learning; Quantum chemistry; Quantum computers; Quantum electronics; Vector spaces; Vectors; Drug discovery; Machine-learning; Material science; Molecular properties; NISQ device; QM9 dataset; Quantum kernel; Quantum machine learning; Quantum machines; Support vector regressions; Computational chemistry</t>
  </si>
  <si>
    <t xml:space="preserve">Quantum Inspired Algorithm; Quantum Inspired Extreme Learning; Quantum Machine Learning; Tensor Network Algorithm</t>
  </si>
  <si>
    <t xml:space="preserve">Knowledge acquisition; Large datasets; Learning algorithms; Learning systems; Machine learning; Quantum computers; Quantum theory; Tensors; Variational techniques; Learning machines; Machine-learning; Molecular properties; Network algorithms; Property predictions; Quantum inspired algorithm; Quantum inspired extreme learning; Quantum machine learning; Quantum machines; Tensor network algorithm; Forecasting</t>
  </si>
  <si>
    <t xml:space="preserve">Artificial Intelligence (AI); Big data; E-Commerce; Parallelism; predictive analytics; Quantum Algorithms; Quantum Computing; Quantum Machine Learning (QML); Superposition</t>
  </si>
  <si>
    <t xml:space="preserve">Behavioral research; Clustering algorithms; Data privacy; Electronic commerce; Large datasets; Learning algorithms; Learning systems; Machine learning; Network security; Principal component analysis; Quantum computers; Quantum cryptography; Quantum theory; Sales; Artificial intelligence; Customer behavior; Machine learning models; Machine-learning; Parallelism; Quantum algorithms; Quantum Computing; Quantum machine learning; Quantum machines; Superposition; Predictive analytics</t>
  </si>
  <si>
    <t xml:space="preserve">Artificial intelligence; Drug discovery; Graph Neural Networks; Molecular property; Quantum; Variational Quantum EigenSolver; VQE-GNN</t>
  </si>
  <si>
    <t xml:space="preserve">Drug discovery; Drug products; Graph neural networks; Graph structures; Graph theory; Graphic methods; Molecular structure; Quantum theory; Structural properties; Drug discovery; Eigensolvers; Graph neural networks; Molecular properties; Quantum; Quantum Computing; Variational quantum eigensolver; Variational quantum eigensolver-graph neural network; Complex networks</t>
  </si>
  <si>
    <t xml:space="preserve">Autism Spectrum Disorder Detection; Pegasos QSVC; quantum computing; quantum machine learning; VQC</t>
  </si>
  <si>
    <t xml:space="preserve">Adaptive boosting; Adversarial machine learning; Contrastive Learning; Diagnosis; mHealth; Quantum electronics; Support vector machines; Variational techniques; Autism spectrum disorder detection; Autism spectrum disorders; Machine-learning; Pegaso quantum support vector classifier; Quantum Computing; Quantum machine learning; Quantum machines; Quantum physics; Support vector classifiers; Variational quantum classifier; Diseases</t>
  </si>
  <si>
    <t xml:space="preserve">Anomalous VM classification; Convergence; Hyperparameter tuning; QKiSVM; Quantum amplitude encoding; Quantum circuits; Quantum feature space; Quantum gradient descent; Quantum kernel estimation; Quantum optimization; Quantum-assisted search</t>
  </si>
  <si>
    <t xml:space="preserve">computations on NISQ device; quantum chemistry; quantum extreme learning machine; quantum machine learning</t>
  </si>
  <si>
    <t xml:space="preserve">Amides; Hydrides; Learning algorithms; Lithium compounds; Machine learning; Molecules; Potential energy; Potential energy surfaces; Simulation platform; Computation on NISQ device; Forcefields; Learning machines; Machine-learning; Molecular potential energies; Potential-energy surfaces; Quantum extreme learning machine; Quantum machine learning; Quantum machines; Surface field; Quantum chemistry</t>
  </si>
  <si>
    <t xml:space="preserve">machine learning; quantum computing; QUBO; Simulated annealing algorithm; SVM</t>
  </si>
  <si>
    <t xml:space="preserve">Classification (of information); High energy physics; Image classification; Intelligent systems; Learning algorithms; Learning systems; Quantum theory; Support vector machines; Annealing algorithm; Binary optimization; Classification tasks; Machine-learning; Quadratic unconstrained binary optimization; Quantum Computing; Simulated annealing algorithm; Support vector machine classification; Support vectors machine; Task-based; Simulated annealing</t>
  </si>
  <si>
    <t xml:space="preserve">Classification; Feature Map Expressivity; Hybrid Quantum Classical Learning; Quantum Kernel Methods; Quantum Machine Learning; Quantum Support Vector Machine; Variational Quantum Circuits</t>
  </si>
  <si>
    <t xml:space="preserve">Benchmarking; Diseases; Learning algorithms; Learning systems; Logistic regression; Nearest neighbor search; Quantum computers; Quantum entanglement; Quantum interference devices; Support vector regression; Variational techniques; Feature map; Feature map expressivity; Hybrid quantum classical learning; Kernel-methods; Machine-learning; Quantum circuit; Quantum kernel method; Quantum machine learning; Quantum machines; Quantum support vector machine; Quantum-classical; Support vectors machine; Variational quantum circuit; Classification (of information)</t>
  </si>
  <si>
    <t xml:space="preserve">Anxiety; Classical Machine Learning: RF and LR; Depression; Early Detection; Hybrid Quantum SVM; Mental Health Disorder; QML; Quantum Kernel methods (QKD)</t>
  </si>
  <si>
    <t xml:space="preserve">Artificial intelligence; Behavioral research; Biomedical signal processing; Diagnosis; Diseases; Learning systems; Quantum computers; Quantum optics; Anxiety; Classical machine learning: RF and LR; Depression; Early detection; Health disorders; Hybrid quantum SVM; Kernel-methods; Machine-learning; Mental health; Mental health disorder; QML; Quantum kernel method; Benchmarking</t>
  </si>
  <si>
    <t xml:space="preserve">Computation theory; Digital storage; Learning algorithms; Learning systems; Molecular physics; Potential energy; Quantum chemistry; Quantum computers; Regression analysis; Structural optimization; nanoparticle; perovskite; Active Learning; Learning frameworks; Machine-learning; Materials design; Quantum algorithms; Quantum Computing; Quantum machines; Regression modelling; Studies of materials; Support vector regressor; algorithm; article; artificial intelligence; controlled study; density functional theory; drug development; human; learning; machine learning; quantum chemistry; regression model; support vector machine; Energy gap</t>
  </si>
  <si>
    <t xml:space="preserve">Machine Learning; ML; Price Forecasting; QML; QSVR; Quantum Machine Learning; SVR</t>
  </si>
  <si>
    <t xml:space="preserve">Quantum kernel estimation; Quantum machine learning; Quantum support vector machine</t>
  </si>
  <si>
    <t xml:space="preserve">Decision trees; Directed graphs; Error analysis; Learning systems; Kernel estimation; Learning methods; Machine-learning; Quantum kernel estimation; Quantum machine learning; Quantum machines; Quantum models; Quantum support vector machine; Random forests; Support vectors machine; Support vector machines</t>
  </si>
  <si>
    <t xml:space="preserve">Biomarker importance evaluation; Covid-19; Multi-omics data; Quantum machine learning; Quantum support vector machine</t>
  </si>
  <si>
    <t xml:space="preserve">Biomarkers; COVID-19; Humans; Metabolomics; Proteomics; SARS-CoV-2; Support Vector Machine; Sweden; Biomarkers; Computer aided diagnosis; COVID-19; Learning systems; Proteomics; Quantum computers; Signal encoding; Support vector regression; Vectors; biological marker; biological marker; 'omics'; Biomarker importance evaluation; Covid-19; Machine-learning; Multi-omic data; Performance based; Quantum machine learning; Quantum machines; Quantum support vector machine; Support vectors machine; adult; Article; controlled study; coronavirus disease 2019; female; human; k fold cross validation; machine learning; major clinical study; male; metabolomics; proteomics; radial basis function; ridge regression; support vector machine; transcriptome sequencing; diagnosis; metabolism; Severe acute respiratory syndrome coronavirus 2; Sweden; Encoding (symbols)</t>
  </si>
  <si>
    <t xml:space="preserve">artificial intelligence; computational chemistry; machine learning; quantum mechanics</t>
  </si>
  <si>
    <t xml:space="preserve">Artificial intelligence; Computational chemistry; Quantum chemistry; Quantum theory; Statistical mechanics; Approximate solution; Machine learning methods; Property data; Quantum machines; Learning systems</t>
  </si>
  <si>
    <t xml:space="preserve">Anomaly detection; Computer integrated manufacturing; Learning systems; Modal analysis; Neural networks; Production control; Quantum entanglement; Qubits; Smart manufacturing; Variational techniques; Approximate optimization; Contemporary manufacturing; Data production; Eigensolvers; Multimodal sensor; Optimization algorithms; Quantum algorithms; Quantum neural networks; Sensors data; Vector machines; Predictive analytics</t>
  </si>
  <si>
    <t xml:space="preserve">Belle II; Continuum suppression; Particle physics; Quantum machine learning; Quantum support vector machines</t>
  </si>
  <si>
    <t xml:space="preserve">Noisy Intermediate-Scale Quantum; Quantum Feature Mapping; Quantum Support Vector Machine</t>
  </si>
  <si>
    <t xml:space="preserve">Learning systems; Machine learning; Quantum optics; Qubits; Classical limits; Feature map; Feature mapping; Machine-learning; Noisy intermediate-scale quantum; Quantum feature mapping; Quantum features; Quantum machines; Quantum support vector machine; Support vectors machine; Mapping</t>
  </si>
  <si>
    <t xml:space="preserve">Lung Cancer Prediction; Medical Imaging; Quantum Feature Mapping; Quantum Support Vector Machine; Support Vector Machine (SVM)</t>
  </si>
  <si>
    <t xml:space="preserve">Biological organs; Diagnosis; Diseases; Learning systems; Lung cancer; Mapping; Medical computing; Medical imaging; Patient treatment; Quantum computers; Quantum optics; Vectors; Cancer prediction; Feature mapping; Lung Cancer; Lung cancer prediction; Quantum feature mapping; Quantum features; Quantum support vector machine; Support vector machine; Support vectors machine; Support vector machines</t>
  </si>
  <si>
    <t xml:space="preserve">Chemometrics; Genetic programming; Prediction model; Quantum computing</t>
  </si>
  <si>
    <t xml:space="preserve">chemical compound; algorithm; Article; artificial neural network; calculation; chemical parameters; chemometrics; controlled study; data analysis; drug development; intermethod comparison; internal validity; mathematical analysis; mathematical parameters; measurement accuracy; prediction; priority journal; quantum chemistry; quantum computing; statistical analysis; toxicity</t>
  </si>
  <si>
    <t xml:space="preserve">ADMET; QAE; QML; QSVC; SMILES; VQC</t>
  </si>
  <si>
    <t xml:space="preserve">Bagging; Ensemble learning; Gradient Boosting Decision Tree; Molecular representation; Quantum chemistry; Tox21; Toxicity prediction</t>
  </si>
  <si>
    <t xml:space="preserve">Algorithms; Drug Discovery; Humans; Machine Learning; Adaptive boosting; Decision trees; Forecasting; Learning systems; Quantum chemistry; Toxicity; Bagging; Chemical information; Ensemble learning; Gradient boosting; Gradient boosting decision tree; Molecular representations; Molecular toxicities; Quantum chemical; Tox21; Toxicity predictions; Article; bagging ensemble learning; chemical structure; dipole; drug toxicity; evaluation study; feature extraction; gradient boosting decision tree; learning algorithm; machine learning; mathematical model; molecular fingerprinting; predictive model; quantum chemistry; quantumtox; algorithm; drug development; human; procedures; Molecules</t>
  </si>
  <si>
    <t xml:space="preserve">graph neural network; machine learning; molecular representation; property prediction</t>
  </si>
  <si>
    <t xml:space="preserve">Classification (of information); Conformations; Geometry; Learning systems; Molecules; Quantum chemistry; Self-supervised learning; Structural properties; Supervised learning; Graph neural networks; Machine-learning; Molecular representations; Performance; Prediction tasks; Property; Property predictions; Quantum chemical; Structural information; Supervised learning methods; article; chemisorption; data base; drug development; feature learning (machine learning); geometry; graph neural network; machine learning; prediction; quantum chemistry; static electricity; Forecasting</t>
  </si>
  <si>
    <t xml:space="preserve">Anomaly Detection; Brain Imaging; MRI Imaging; Quantum Convolutional Neural Networks; Quantum Machine Learning; Variational Quantum Classifiers</t>
  </si>
  <si>
    <t xml:space="preserve">Brain; Brain mapping; Classification (of information); Convolution; Convolutional neural networks; Diagnosis; Large datasets; Learning systems; Quantum computers; Quantum theory; Support vector machines; Variational techniques; Anomaly detection; Brain imaging; Convolutional neural network; Machine-learning; MRI imaging; Quantum convolutional neural network; Quantum machine learning; Quantum machines; Support vectors machine; Variational quantum classifier; Anomaly detection; Magnetic resonance imaging</t>
  </si>
  <si>
    <t xml:space="preserve">Artificial intelligence; Computation theory; Forecasting; Learning systems; Molecules; Quantum chemistry; Simulated annealing; Atomization energies; Classical simulation; Machine learning models; Metropolis Monte Carlo; Molecular properties; Nonequilibrium structures; Optimized structures; Tensor representation; Density functional theory</t>
  </si>
  <si>
    <t xml:space="preserve">Anomaly detection; Drug discovery; Error correction; Financial data processing; Investments; Learning systems; Quantum computers; Quantum entanglement; Quantum noise; Vector spaces; Classification tasks; Deep dives; High nonlinear; High-dimensional; Higher-dimensional; Nonlinear classification; Quantum Computing; Quantum mechanical process; Supervised machine learning; Support vectors machine; Support vector machines</t>
  </si>
  <si>
    <t xml:space="preserve">Classification; EEG; Feature Map; Quantum Kernel; Quantum Machine Learning</t>
  </si>
  <si>
    <t xml:space="preserve">Biomedical engineering; Electroencephalography; Learning algorithms; Learning systems; Machine learning; Quantum computers; Quantum optics; Signal processing; Feature map; Kernel classifiers; Machine-learning; Performances analysis; Quantum features; Quantum kernel; Quantum machine learning; Quantum machines; State of the art; Support vector classifiers; Classification (of information)</t>
  </si>
  <si>
    <t xml:space="preserve">Computation theory; Computational chemistry; Density functional theory; Design for testability; Electronic properties; Forecasting; Large dataset; Machine learning; Message passing; Open source software; Quantum chemistry; Quantum theory; Accurate calculations; Computational costs; Design tasks; Fast calculations; Machine-learning; Medicinal chemistry; Molecular design; Quantum machines; Quantum mechanical; Quantum mechanical method; Molecules</t>
  </si>
  <si>
    <t xml:space="preserve">cancer classification; multi-omics; Precision medicine; QSVC; quantum advantage; quantum machine learning</t>
  </si>
  <si>
    <t xml:space="preserve">Alkylation; Bioinformatics; Biological organs; Classification (of information); Diseases; Feature extraction; Large datasets; Learning systems; Lung cancer; Quantum computers; RNA; Support vector machines; 'omics'; Cancer classification; Lung Cancer; Machine-learning; Multi-omic; Quantum advantage; Quantum machine learning; Quantum machines; Quantum support vector classifier; Support vector classifiers; Principal component analysis</t>
  </si>
  <si>
    <t xml:space="preserve">Artificial Intelligence; Machine Learning; Quan-tum Support Vector Machine; quantum computing</t>
  </si>
  <si>
    <t xml:space="preserve">Learning algorithms; Principal component analysis; Quantum computers; Quantum efficiency; Quantum optics; Design and implementations; Machine learning algorithms; Machine-learning; Principal-component analysis; Quan-tum support vector machine; Quanta computers; Quantum Computing; Quantum machines; Support vector machine models; Support vectors machine; Support vector machines</t>
  </si>
  <si>
    <t xml:space="preserve">Multiple linear regression (MLR); Quantitative structure-activity relationship (QSAR); Radical basis function neural network (RBF); Support vector machine (SVM); Toxicity</t>
  </si>
  <si>
    <t xml:space="preserve">Algorithms; Computational Biology; Databases; Environmental Pollutants; Lethal Dose 50; Linear Models; Neural Networks (Computer); Quantitative Structure-Activity Relationship; Reproducibility of Results; article; calculation; comparative study; correlation coefficient; prediction; priority journal; quantitative structure activity relation; regression analysis; toxicity</t>
  </si>
  <si>
    <t xml:space="preserve">Classification; Classifiers; Feature map; Machine learning; Quantum computing</t>
  </si>
  <si>
    <t xml:space="preserve">Data mining; Diagnosis; Diseases; Learning algorithms; Learning systems; Neural networks; Quantum computers; Quantum optics; Support vector machines; Variational techniques; Breast cancer diagnosis; Embeddings; Feature map; Machine learning models; Machine-learning; Performance; Quantum Computing; Quantum features; Quantum neural networks; Support vectors machine; Classification (of information); Classifiers</t>
  </si>
  <si>
    <t xml:space="preserve">bioinformatics; crispr/cas9; off-target prediction; quantum computing; quantum machine learning</t>
  </si>
  <si>
    <t xml:space="preserve">Forecasting; Large datasets; Learning systems; Machine learning; Quantum entanglement; Qubits; Crispr/cas9; F1 scores; Large datasets; Machine-learning; Off-target prediction; Quantum Computing; Quantum machine learning; Quantum machines; Support vector classifiers; Target prediction; Bioinformatics</t>
  </si>
  <si>
    <t xml:space="preserve">Diagnostic Accuracy; Machine Learning Classifier; Medical Image Analysis; Quantum Support Vector Machine; Thyroid Disease Prediction</t>
  </si>
  <si>
    <t xml:space="preserve">Classification (of information); Classifiers; Diagnosis; Diseases; Image analysis; Image classification; Learning systems; Medical image processing; Statistical tests; Support vector machines; Diagnostic accuracy; Learning classifiers; Machine learning classifier; Machine-learning; Medical image analysis; Quantum support vector machine; Support vector machine classifiers; Support vectors machine; Thyroid disease; Thyroid disease prediction; Decision support systems</t>
  </si>
  <si>
    <t xml:space="preserve">Chebyshev Polynomial Quantum Circuits; Projected Quantum Kernel; Quantum Machine Learning; Quantum Support Vector Classifier</t>
  </si>
  <si>
    <t xml:space="preserve">Benchmarking; Chebyshev polynomials; Dimensionality reduction; Palmprint recognition; Polynomials; Quantum electronics; Qubits; Support vector machines; Vectors; Chebyshev polynomial quantum circuit; Chebyshev polynomials; Kernel-methods; Machine-learning; Projected quantum kernel; Quantum circuit; Quantum machine learning; Quantum machines; Quantum support vector classifier; Support vector classifiers; Principal component analysis</t>
  </si>
  <si>
    <t xml:space="preserve">benchmark; neural network classifier; pegasos quantum support vector classifier; quantum machine learning; quantum support vector classifier; variational quantum circuit</t>
  </si>
  <si>
    <t xml:space="preserve">Benchmarking; Learning systems; Quantum computers; Timing circuits; Vectors; Benchmark; Machine-learning; Neural networks classifiers; Pegaso quantum support vector classifier; Quantum circuit; Quantum machine learning; Quantum machines; Quantum support vector classifier; Support vector classifiers; Variational quantum circuit; Classification (of information)</t>
  </si>
  <si>
    <t xml:space="preserve">Image Classification; MNIST Benchmark; Quantum Kernel Alignment; Quantum Support Vector Machine</t>
  </si>
  <si>
    <t xml:space="preserve">Benchmarking; Character recognition; Image classification; Learning systems; Quantum computers; Quantum optics; Images classification; Kernel alignments; Machine learning approaches; Machine-learning; MNIST benchmark; Quantum algorithms; Quantum Computing; Quantum kernel alignment; Quantum support vector machine; Support vectors machine; Support vector machines</t>
  </si>
  <si>
    <t xml:space="preserve">biodegradability; green chemistry; hybrid quantum-classical model; quantitative structure-activity relationship (QSAR); quantum machine learning; quantum neural network; variational quantum circuit</t>
  </si>
  <si>
    <t xml:space="preserve">Complex networks; Complexation; Computational methods; Learning systems; Machine learning; Molecular graphics; Nanotechnology; Nearest neighbor search; Neural networks; Quantum chemistry; Quantum computers; Quantum theory; Structures (built objects); Classical modeling; Green-chemistry; Hybrid quantum-classical model; Machine-learning; Quantitative structure activity relationship; Quantitative structure-activity relationship; Quantum circuit; Quantum machine learning; Quantum machines; Quantum neural networks; Quantum-classical; Variational quantum circuit; Computational chemistry</t>
  </si>
  <si>
    <t xml:space="preserve">Artificial intelligence; Classification (of information); Matrix algebra; Polynomial approximation; Quantum computers; Supervised learning; Support vector machines; Binary classifiers; Data classification; Exponentiations; Matrix inversions; Polynomial-time; Sampling algorithm; Supervised machine learning; Training example; Big data</t>
  </si>
  <si>
    <t xml:space="preserve">feature maps; GB; PIDD; Qiskit; SVM; variational quantum circuit (VQC); XGBoost</t>
  </si>
  <si>
    <t xml:space="preserve">Adaptive boosting; Decision trees; Forward error correction; Linear regression; Network security; Quantum electronics; Variational techniques; Feature map; GB; Machine learning models; Optimizers; PIMA indian diabetes dataset; Qiskit; Quantum circuit; SVM; Variational quantum circuit; Xgboost; Qubits</t>
  </si>
  <si>
    <t xml:space="preserve">Kernel method; Pairwise classification; Quantum machine learning; Quantum support vector machine</t>
  </si>
  <si>
    <t xml:space="preserve">Forecasting; Learning systems; Matrix algebra; Qubits; Vectors; Kernel matrices; Kernel-methods; Kronecker; Machine-learning; Pairwise classification; Quantum Computing; Quantum machine learning; Quantum machines; Quantum support vector machine; Support vectors machine; Support vector machines</t>
  </si>
  <si>
    <t xml:space="preserve">experimental evaluation; Machine learning; quantum computing</t>
  </si>
  <si>
    <t xml:space="preserve">Learning algorithms; Neural networks; Quantum optics; Support vector machines; Experimental evaluation; Machine learning algorithms; Machine-learning; Neural-networks; Performances evaluation; Quanta computers; Quantum Computing; Quantum machines; Quantum computers</t>
  </si>
  <si>
    <t xml:space="preserve">Feature maps; Quantum machine learning; Quantum neural network; Quantum simulators; Quantum support vector machine</t>
  </si>
  <si>
    <t xml:space="preserve">Benchmarking; Classification (of information); Computational efficiency; Decision trees; Learning algorithms; Learning systems; Nearest neighbor search; Neural networks; Quantum chemistry; Quantum efficiency; Quantum optics; Qubits; Simulation platform; Support vector machines; Vector spaces; 'current; Feature map; Machine-learning; Performance; Quantum machine learning; Quantum machines; Quantum neural networks; Quantum simulators; Quantum support vector machine; Support vectors machine; Principal component analysis</t>
  </si>
  <si>
    <t xml:space="preserve">Machine learning; Quantum computing; Quantum machine learning; Qubit; Support vector machine</t>
  </si>
  <si>
    <t xml:space="preserve">Quantum algorithm; Quantum supremacy; Supervised machine learning</t>
  </si>
  <si>
    <t xml:space="preserve">Classification (of information); Quantum theory; Supervised learning; Support vector machines; Vectors; Output state; Quantum algorithms; Quantum setting; Quantum supremacy; Running time; Supervised machine learning; Support vector machine models; Training data; Machine learning</t>
  </si>
  <si>
    <t xml:space="preserve">ADASYN; Diabetes prediction; Hybrid models; Machine learning; Quantum computing</t>
  </si>
  <si>
    <t xml:space="preserve">Adaptive boosting; Advanced Analytics; Balancing; Barium compounds; Classification (of information); Classifiers; Computer aided diagnosis; Data accuracy; Health care; Learning systems; Medical computing; Nearest neighbor search; Neural networks; Prediction models; Quantum theory; Support vector machines; Adaptive synthetic; Diabetes prediction; Hybrid model; Machine learning models; Machine-learning; Nearest-neighbour; Quantum Computing; Quantum machines; Random forests; Support vector classifiers; Quantum computers</t>
  </si>
  <si>
    <t xml:space="preserve">boost classifiers; CatBoost; classification; Lasso; LightGBM; neural networks; Qiskit; quantum computing; quantum kernel estimator; quantum machine learning; Ridge; variational quantum circuit; XGBoost</t>
  </si>
  <si>
    <t xml:space="preserve">Healthcare applications; Predictive modeling; Quantum computing; Quantum kernel estimation; Quantum machine learning; Quantum Support Vector Machines (QSVMs)</t>
  </si>
  <si>
    <t xml:space="preserve">Classification (of information); Dimensionality reduction; Diseases; Health care; Learning systems; Mapping; Medical computing; Quantum computers; Quantum cryptography; Health care application; Kernel estimation; Machine-learning; Predictive models; Quantum Computing; Quantum kernel estimation; Quantum machine learning; Quantum machines; Quantum support vector machine; Support vectors machine; Predictive analytics</t>
  </si>
  <si>
    <t xml:space="preserve">Classification; Quantum kernel functions; Quantum machine learning; Quantum support vector machine; Regression</t>
  </si>
  <si>
    <t xml:space="preserve">Adversarial machine learning; Radial basis function networks; Support vector regression; Vectors; Kernel function; Machine-learning; Performance; Quantum kernel function; Quantum machine learning; Quantum machines; Quantum support vector machine; Regression; Support vector classifiers; Support vectors machine; Mean square error</t>
  </si>
  <si>
    <t xml:space="preserve">Amine-based carbon capture; Materials science; Quantitative structure-property relationship; Quantum machine learning; Quantum neural network</t>
  </si>
  <si>
    <t xml:space="preserve">Amines; Carbon capture; Carbon capture and storage; Carbon capture and utilization; Learning systems; Machine learning; Neural networks; Physicochemical properties; Quantum electronics; Quantum entanglement; Quantum noise; Quantum optics; Qubits; Variational techniques; Amine-based carbon capture; Capture efficiency; Machine-learning; Material science; Property predictions; Quantitative structure property relationships; Quantitative structure-property relationship models; Quantum machine learning; Quantum machines; Quantum neural networks; Carbon dioxide</t>
  </si>
  <si>
    <t xml:space="preserve">Adverse Drug Events (ADE); Multimodal Data Fusion; Pharmacovigilance; Precision Medicine; Predictive Analytics; Quantum Machine Learning (QML); Quantum Support Vector Machine (QSVM); Variational Quantum Classifier (VQC)</t>
  </si>
  <si>
    <t xml:space="preserve">Drug interactions; Health care; Learning systems; Machine learning; Medical computing; Prediction models; Proteomics; Quantum computers; Quantum entanglement; Variational techniques; Adverse drug event; Machine-learning; Multi-modal; Multimodal data fusion; Pharmacovigilance; Quantum machine learning; Quantum machines; Quantum support vector machine; Support vectors machine; Variational quantum classifier; Predictive analytics</t>
  </si>
  <si>
    <t xml:space="preserve">quantum algorithm; quantum feature mapping; quantum kernel method; quantum support vector machine</t>
  </si>
  <si>
    <t xml:space="preserve">Classification (of information); Computational efficiency; Learning systems; Mapping; Optimization; Quantum computers; Quantum efficiency; Vector spaces; Vectors; Feature mapping; Kernel-methods; Quantum algorithms; Quantum feature mapping; Quantum features; Quantum kernel method; Quantum machines; Quantum support vector machine; Real-world; Support vectors machine; Support vector machines</t>
  </si>
  <si>
    <t xml:space="preserve">Algorithms; Artificial Intelligence; Drug Discovery; Machine Learning; Pharmaceutical Preparations; Blending; Forecasting; Molecules; Quantum computers; Quantum theory; Support vector machines; drug; Absorption distribution metabolism and excretions; Critical issues; Drug discovery; Learning frameworks; Machine-learning; New chemical entities; Property; Quantum machines; Support vector classifiers; Toxicity properties; algorithm; artificial intelligence; drug development; machine learning; procedures; Toxicity</t>
  </si>
  <si>
    <t xml:space="preserve">Cleaveland dataset; heart disease detection; QSVC; Quantum feature maps; Quantum kernel matrix; Quantum machine learning; Support vector machine</t>
  </si>
  <si>
    <t xml:space="preserve">Classification (of information); Diseases; Learning systems; Quantum computers; Cleaveland dataset; Disease detection; Feature map; Heart disease; Heart disease detection; Kernel matrices; Machine-learning; QSVC; Quantum feature map; Quantum features; Quantum kernel matrix; Quantum machine learning; Quantum machines; Support vectors machine; Support vector machines</t>
  </si>
  <si>
    <t xml:space="preserve">Autism spectrum disorder; Classification; Metabolomics; Quantum machine learning</t>
  </si>
  <si>
    <t xml:space="preserve">Bioinformatics; Computer hardware; Diseases; Encoding (symbols); Error correction; Learning systems; Medical computing; Molecular biology; Quantum communication; Quantum optics; Qubits; Support vector machines; Autism spectrum disorders; Biomedical data; Biomedical research; Feasibility studies; Machine-learning; Metabolomics; Quantum Computing; Quantum machine learning; Quantum machines; Support vectors machine; Classification (of information)</t>
  </si>
  <si>
    <t xml:space="preserve">machine learning; Molecular properties; quantum chemistry</t>
  </si>
  <si>
    <t xml:space="preserve">Computation theory; Computational chemistry; Computational efficiency; Deep neural networks; Density functional theory; Design for testability; Forecasting; Learning algorithms; Learning systems; Metadata; Molecules; Quantum efficiency; Quantum theory; Supervised learning; Electronic.structure; Hybrid framework; Machine learning techniques; Machine-learning; Molecular characteristics; Molecular properties; Quantum features; Quantum levels; Quantum-mechanical calculation; Reaction pathways; Quantum chemistry</t>
  </si>
  <si>
    <t xml:space="preserve">Drug discovery; Gradient penalty; Quantum GAN; Wasserstein distance</t>
  </si>
  <si>
    <t xml:space="preserve">Bioinformatics; Drug delivery; Drug discovery; Drug products; Learning algorithms; Learning systems; Machine learning; Quantum chemistry; Quantum computers; Quantum electronics; Adversarial networks; Classical computing; Drug Design; Drug discovery; Generative model; Gradient penalty; Network models; Quantum GAN; Quantum-classical; Wasserstein distance; Molecules</t>
  </si>
  <si>
    <t xml:space="preserve">Fuzzy support vector machine; K-Nearest neighbors; Machine learning; Quantum computing; Quantum fuzzy support vector machine; Quantum machine learning; Quantum support vector machine</t>
  </si>
  <si>
    <t xml:space="preserve">Classification (of information); Fuzzy logic; Large datasets; Learning algorithms; Learning systems; Nearest neighbor search; Quantum computers; Quantum theory; Vectors; Fuzzy support vector machines; K-near neighbor; Machine-learning; Nearest-neighbour; Quantum Computing; Quantum fuzzy support vector machine; Quantum machine learning; Quantum machines; Quantum support vector machine; Support vectors machine; Support vector machines</t>
  </si>
  <si>
    <t xml:space="preserve">Machine Learning; Material Discovery; Nanomaterials; Quantum Computing</t>
  </si>
  <si>
    <t xml:space="preserve">Complex networks; Computation theory; Computational efficiency; Computer hardware; Density functional theory; Entropy; Forecasting; Information dissemination; Learning systems; Machine learning; Quantum computers; Quantum optics; Density-functional-theory; Energy; High performance material; High-dimensional; Higher-dimensional; Machine-learning; Material discovery; Property; Quantum Computing; Quantum machines; Nanostructured materials</t>
  </si>
  <si>
    <t xml:space="preserve">Convolutional Neural Network; Quantum Convolutional Neural Network; Quantum Neural Network; Quantum Support Vector Machine; Support Vector Machine</t>
  </si>
  <si>
    <t xml:space="preserve">Classification (of information); Computational efficiency; Computer architecture; Convolution; Convolutional neural networks; Data handling; Image classification; Image enhancement; Learning systems; Quantum chemistry; Quantum entanglement; Qubits; Scalability; Vectors; 'current; Convolutional neural network; Machine-learning; Quantum Computing; Quantum convolutional neural network; Quantum neural networks; Quantum support vector machine; Support vectors machine; Support vector machines</t>
  </si>
  <si>
    <t xml:space="preserve">Atmospheric Pollutant Concentration; Hybrid Quantum-Classical Models; NISQ; Quantum Machine Learning; Variational Quantum Regression</t>
  </si>
  <si>
    <t xml:space="preserve">Air pollution; Learning systems; Linear regression; Quantum theory; Qubits; Statistical tests; Support vector regression; Variational techniques; Atmospheric pollutant concentration; Atmospheric pollutants; Classical modeling; Hybrid quantum-classical model; Machine-learning; Noisy intermediate-scale quantum; Pollutant concentration; Quantum machine learning; Quantum machines; Quantum-classical; Variational quantum regression; Forecasting</t>
  </si>
  <si>
    <t xml:space="preserve">Classification; Predictive analysis; Quantum Computing; Quantum Machine Learning</t>
  </si>
  <si>
    <t xml:space="preserve">quantum dot; academic research; machine learning; research work; support vector machine; Article; embedding; Fourier transform; prediction; probability; quantum chemistry; rotation; support vector machine; Turing machine</t>
  </si>
  <si>
    <t xml:space="preserve">Hybrid Quantum-Classical Architecture; QSVM; Quantum binary Classifiers; Quantum Feature Map; Quantum Machine Learning</t>
  </si>
  <si>
    <t xml:space="preserve">Intelligent computing; Quantum computers; Support vector machines; Classical computing; Feature map; Mental health; Mental health treatments; Performance Model; Quantum machines; Quantum-classical; Real-world; Learning systems</t>
  </si>
  <si>
    <t xml:space="preserve">Diabetes prediction; Explainable artificial intelligence; Noise mitigation; Quantum machine learning; Variational quantum circuit</t>
  </si>
  <si>
    <t xml:space="preserve">Benchmarking; Decision trees; Errors; Learning algorithms; Learning systems; Logistic regression; Neural networks; Quantum computers; Quantum noise; Quantum theory; Statistical tests; Support vector regression; Variational techniques; Diabetes prediction; Error mitigation; Explainable artificial intelligence; Machine-learning; Noise mitigation; Quantum circuit; Quantum machine learning; Quantum machines; Quantum neural networks; Variational quantum circuit; Scalability</t>
  </si>
  <si>
    <t xml:space="preserve">Machine Learning; QKNN; QSVM; Quantum Computing; Quantum Enhanced Machine Learning; Stress monitoring; VQC</t>
  </si>
  <si>
    <t xml:space="preserve">Heart; Knowledge management; Nearest neighbor search; Principal component analysis; Quantum computers; Machine-learning; Nearest-neighbour; Quantum Computing; Quantum enhanced machine learning; Quantum K-near neighbor; Quantum support vector machine; Stress monitoring; Support vectors machine; Variational quantum classifier; Support vector machines</t>
  </si>
  <si>
    <t xml:space="preserve">drug discovery; KIBA dataset; quantum computing</t>
  </si>
  <si>
    <t xml:space="preserve">Adversarial machine learning; Antibiotics; Deep learning; Drug interactions; Linear regression; Quantum electronics; Quantum optics; Variational techniques; Antibiotics resistance; Classical computing; Concordance index; Conventional drugs; Drug discovery; Drug-target interactions; Interaction prediction; KIBA dataset; Quantum Computing; Therapeutic compounds; Quantum computers</t>
  </si>
  <si>
    <t xml:space="preserve">quantum computing; quantum machine learning (QML); quantum support vector machine; support vector machine; variational quantum classifier</t>
  </si>
  <si>
    <t xml:space="preserve">Image segmentation; Quantum electronics; Quantum optics; Support vector machines; Variational techniques; Vectors; Comparative analyzes; Heart disease; Machine-learning; Quantum Computing; Quantum machine learning; Quantum machines; Quantum support vector machine; Support vectors machine; Variational quantum classifier; Quantum computers</t>
  </si>
  <si>
    <t xml:space="preserve">Drug discovery; Parameterized quantum circuits; QSAR; Quantum computer; Quantum machine learning</t>
  </si>
  <si>
    <t xml:space="preserve">ADMET datasets; classical machine learning; drug discovery; Pegasus topology; QBoost; quantum annealing; Quantum computing; quantum support vector machines (QSVM); real-world data</t>
  </si>
  <si>
    <t xml:space="preserve">Contrastive Learning; Network security; Support vector machines; ADMET dataset; Classical machine learning; Drug discovery; Machine-learning; Pegasi topology; PEGASIS; Pegasus; Qboost; Quantum annealing; Quantum Computing; Quantum support vector machine; Real-world; Real-world data; Support vectors machine; Adversarial machine learning</t>
  </si>
  <si>
    <t xml:space="preserve">Computational drug discovery; Drug–Target interaction; Quantum kernel; Quantum machine learning; Quantum mapping</t>
  </si>
  <si>
    <t xml:space="preserve">Drug Discovery; Humans; Machine Learning; Molecular Docking Simulation; Quantum Theory; Support Vector Machine; article; benchmarking; binding affinity; chemical structure; computer model; controlled study; deep learning; drug development; drug repositioning; human; machine learning; molecular docking; prediction; reliability; support vector machine; drug development; procedures; quantum theory</t>
  </si>
  <si>
    <t xml:space="preserve">Deep neural networks; Variational techniques; Wave functions; Benchmark datasets; Computational advantages; Electronic quantum; Machine learning models; Molecular representations; Neural network structures; Quantum chemical descriptors; Wave-function based methods; Quantum chemistry</t>
  </si>
  <si>
    <t xml:space="preserve">Atomization energies; Quantum machine learning; Quantum neural network; Quantum regression model</t>
  </si>
  <si>
    <t xml:space="preserve">Atomization; Atoms; Clustering algorithms; Convolution; Convolutional neural networks; Deep learning; Deep neural networks; Eigenvalues and eigenfunctions; Error correction; Learning algorithms; Learning systems; Matrix algebra; Molecules; Multilayer neural networks; Quantum computers; Radial basis function networks; Regression analysis; Classical counterpart; Eigenvalues and eigenvector; High dimensional data; Molecular atomization energies; Quantum error corrections; Quantum neural networks; Radial basis function neural networks; Regression algorithms; Quantum theory</t>
  </si>
  <si>
    <t xml:space="preserve">Graph Neural Networks; Machine Learning; Neural Networks, Computer; Quantum Theory; Embeddings; Forecasting; Machine learning; Neural networks; Quantum computers; Signal encoding; Embedded graphs; Embeddings; Encodings; Graph neural networks; Machine learning models; Machine-learning; Molecular properties; Neural network model; Property predictions; Quantum machines; artificial neural network; graph neural network; machine learning; quantum theory; Encoding (symbols)</t>
  </si>
  <si>
    <t xml:space="preserve">QNN; QPCA; Quantum feature map; Quantum machine learning; Variational quantum classifier</t>
  </si>
  <si>
    <t xml:space="preserve">Algorithms; Least-Squares Analysis; Molecular Dynamics Simulation; Neural Networks (Computer); Quantum Theory; algorithm; artificial neural network; molecular dynamics; quantum theory; regression analysis; review</t>
  </si>
  <si>
    <t xml:space="preserve">materials informatics; QNN; QSVM; quantum computing; Quantum machine learning; VQC</t>
  </si>
  <si>
    <t xml:space="preserve">Classification; Decision tree; K- nearest neighbor; Linear regression; Machine learning; Quantum support vector machine; Random forest; Support vector machine</t>
  </si>
  <si>
    <t xml:space="preserve">calcium oxide; analysis of variance; article; breast cancer; classification; classifier; controlled study; decision tree; dimensionality reduction; explainable artificial intelligence; explainable machine learning; feature selection; Gaussian noise; human; k nearest neighbor; linear regression analysis; logistic regression analysis; machine learning; noise; random forest; simulation; support vector machine; wine</t>
  </si>
  <si>
    <t xml:space="preserve">NISQ; QSVM; QSVR; Quantum kernel method; Quantum machine learning; Trapped-ion quantum computer</t>
  </si>
  <si>
    <t xml:space="preserve">Approximation theory; Circuit simulation; Learning systems; Qubits; Regression analysis; Trapped ions; Kernel-methods; Machine-learning; NISQ; QSVM; Quanta computers; Quantum kernel method; Quantum machine learning; Quantum machines; Quantum support vector regression; Support vector regressions; Trapped ion; Trapped-ion quantum computer; Support vector machines</t>
  </si>
  <si>
    <t xml:space="preserve">Cheminformatics; Genetic programming; Prediction; Quantum computing</t>
  </si>
  <si>
    <t xml:space="preserve">Carboxylic Acids; Computational Biology; Drug Design; Gene Expression Regulation; Humans; NF-kappa B; Pyrimidines; Pyrroles; Quantitative Structure-Activity Relationship; Quantum Theory; Sensitivity and Specificity; Transcription Factor AP-1; Approximation theory; Error analysis; Genes; Information analysis; Mathematical models; Molecular structure; Nitrogen; Quantum theory; Synthesis (chemical); carboxylic acid; immunoglobulin enhancer binding protein; pyrimidine derivative; pyrrole derivative; transcription factor AP 1; article; biology; chemistry; drug antagonism; drug design; drug effect; gene expression regulation; human; methodology; physiology; quantitative structure activity relation; quantum theory; sensitivity and specificity; Quantitive structure-activity relationships (QSAR); Organic compounds</t>
  </si>
  <si>
    <t xml:space="preserve">Quantum computing; Quantum machine learning; Quantum neural networks; Quantum support vector machines</t>
  </si>
  <si>
    <t xml:space="preserve">Diseases; Learning systems; Quantum computers; Quantum optics; Statistical tests; Support vector machines; Vectors; Machine health; Machine learning models; Machine-learning; Neural network and support vector machines; Quantum Computing; Quantum machine learning; Quantum machines; Quantum neural networks; Quantum support vector machine; Support vectors machine; Health care</t>
  </si>
  <si>
    <t xml:space="preserve">Air quality prediction; Quantum encoding; Quantum support vector machine; Sustainable environment</t>
  </si>
  <si>
    <t xml:space="preserve">air pollution; air quality; algorithm; article; benchmarking; controlled study; diagnosis; human; learning algorithm; machine learning; prediction; problem solving; quality control; support vector machine</t>
  </si>
  <si>
    <t xml:space="preserve">Bioinformatics; Compound-Protein Interactions; Machine Learning; Quantum Support Vector Machine</t>
  </si>
  <si>
    <t xml:space="preserve">Drug interactions; k-nearest neighbors; Learning to rank; Quantum channel; Quantum electronics; Quantum optics; Semi-supervised learning; Support vector regression; Compound-protein interaction; Drug discovery; Elegans; Human dataset; Machine-learning; Protein interaction; Quantum machines; Quantum support vector machine; Support vector machine models; Support vectors machine; Qubits</t>
  </si>
  <si>
    <t xml:space="preserve">alpha tocopherol; article; artificial neural network; benchmarking; cheminformatics; drug design; drug development; feature learning (machine learning); geometry; nerve cell network; prediction</t>
  </si>
  <si>
    <t xml:space="preserve">Quantum kernel alignment; Quantum kernel estimation; Quantum machine learning; Quantum support vector regression</t>
  </si>
  <si>
    <t xml:space="preserve">Learning systems; Support vector machines; Vectors; Kernel alignments; Kernel estimation; Machine-learning; Quantum features; Quantum kernel alignment; Quantum kernel estimation; Quantum machine learning; Quantum machines; Quantum support vector regression; Support vector regressions; Quantum entanglement</t>
  </si>
  <si>
    <t xml:space="preserve">Literature screening workflow — from high recall to a practical reading list</t>
  </si>
  <si>
    <t>Stage</t>
  </si>
  <si>
    <t xml:space="preserve">0 — Search retrieval</t>
  </si>
  <si>
    <t xml:space="preserve">Run the three broad Scopus searches with high recall.</t>
  </si>
  <si>
    <t xml:space="preserve">Keep all hits; do not judge relevance yet.</t>
  </si>
  <si>
    <t xml:space="preserve">0.5 — Deduplication</t>
  </si>
  <si>
    <t xml:space="preserve">Merge the three exports and identify papers returned by more than one query.</t>
  </si>
  <si>
    <t xml:space="preserve">One unique record per DOI/EID/title; preserve the original raw hits separately.</t>
  </si>
  <si>
    <t xml:space="preserve">1 — Abstract screening</t>
  </si>
  <si>
    <t xml:space="preserve">Read title + abstract + keywords and classify each unique paper.</t>
  </si>
  <si>
    <t xml:space="preserve">Core / Supporting / Exclude.</t>
  </si>
  <si>
    <t xml:space="preserve">2 — Stronger triage</t>
  </si>
  <si>
    <t xml:space="preserve">For papers not excluded, score relevance to the actual research plan.</t>
  </si>
  <si>
    <t xml:space="preserve">0–2 points each for endpoint, method, dataset comparability, evaluation quality, and novelty importance.</t>
  </si>
  <si>
    <t xml:space="preserve">3 — Reading plan</t>
  </si>
  <si>
    <t xml:space="preserve">Convert the scored corpus into a manageable workload.</t>
  </si>
  <si>
    <t xml:space="preserve">Tier A = full text; Tier B = targeted skim; Tier C = keep indexed, no reading now.</t>
  </si>
  <si>
    <t xml:space="preserve">Screening funnel</t>
  </si>
  <si>
    <t xml:space="preserve">Stage 2 tier</t>
  </si>
  <si>
    <t xml:space="preserve">Raw Scopus hits</t>
  </si>
  <si>
    <t xml:space="preserve">Retained after abstract screening</t>
  </si>
  <si>
    <t xml:space="preserve">Active reading candidates (Tier A + B)</t>
  </si>
  <si>
    <t xml:space="preserve">Total retained from Stage 1</t>
  </si>
  <si>
    <t xml:space="preserve">Must-read full texts (Tier A)</t>
  </si>
  <si>
    <t xml:space="preserve">Stage 2 scoring rubric</t>
  </si>
  <si>
    <t>Criterion</t>
  </si>
  <si>
    <t xml:space="preserve">0 points</t>
  </si>
  <si>
    <t xml:space="preserve">1 point</t>
  </si>
  <si>
    <t xml:space="preserve">2 points</t>
  </si>
  <si>
    <t xml:space="preserve">Why it matters</t>
  </si>
  <si>
    <t>Notes</t>
  </si>
  <si>
    <t xml:space="preserve">Endpoint relevance</t>
  </si>
  <si>
    <t xml:space="preserve">Different problem/domain</t>
  </si>
  <si>
    <t xml:space="preserve">Related molecular property / toxicity</t>
  </si>
  <si>
    <t xml:space="preserve">Direct bee toxicity, close ecotoxicity/ADMET, or equally close QML toxicity task</t>
  </si>
  <si>
    <t xml:space="preserve">Prevents generic ML/QML papers from dominating the reading list.</t>
  </si>
  <si>
    <t xml:space="preserve">Role-aware: problem-context bee papers can score highly even without ML.</t>
  </si>
  <si>
    <t xml:space="preserve">Method relevance</t>
  </si>
  <si>
    <t xml:space="preserve">No useful modeling method</t>
  </si>
  <si>
    <t xml:space="preserve">Generic/partly transferable method</t>
  </si>
  <si>
    <t xml:space="preserve">Directly comparable or strategically transferable model/representation</t>
  </si>
  <si>
    <t xml:space="preserve">Prioritizes methods that could actually change the experimental design.</t>
  </si>
  <si>
    <t xml:space="preserve">Examples: kernels/SVM, fingerprints, GNNs, consensus, read-across, VQC/QSVM.</t>
  </si>
  <si>
    <t xml:space="preserve">Dataset comparability</t>
  </si>
  <si>
    <t xml:space="preserve">Not molecular / not comparable</t>
  </si>
  <si>
    <t xml:space="preserve">Related molecular dataset</t>
  </si>
  <si>
    <t xml:space="preserve">ApisTox / honey-bee endpoint / close toxicity-QML setting</t>
  </si>
  <si>
    <t xml:space="preserve">Reduces the risk of learning lessons from chemically or statistically unrelated benchmarks.</t>
  </si>
  <si>
    <t xml:space="preserve">Same endpoint is stronger than merely similar model type.</t>
  </si>
  <si>
    <t xml:space="preserve">Evaluation strength</t>
  </si>
  <si>
    <t>Unclear/weak</t>
  </si>
  <si>
    <t xml:space="preserve">Basic CV or reported benchmark</t>
  </si>
  <si>
    <t xml:space="preserve">External, scaffold/time/OOD, applicability-domain, repeated or leak-aware evaluation</t>
  </si>
  <si>
    <t xml:space="preserve">Your paper needs robust evidence, not only a higher score on one random split.</t>
  </si>
  <si>
    <t xml:space="preserve">Full text is still required to verify the abstract-level signal.</t>
  </si>
  <si>
    <t xml:space="preserve">Novelty importance</t>
  </si>
  <si>
    <t xml:space="preserve">Little incremental value</t>
  </si>
  <si>
    <t xml:space="preserve">Useful related evidence</t>
  </si>
  <si>
    <t xml:space="preserve">Direct novelty threat or method that addresses a gap in the base paper</t>
  </si>
  <si>
    <t xml:space="preserve">Prioritizes papers that affect what you can claim as a contribution.</t>
  </si>
  <si>
    <t xml:space="preserve">Includes strong negative/neutral QML evidence.</t>
  </si>
  <si>
    <t xml:space="preserve">How Tier A was selected</t>
  </si>
  <si>
    <t xml:space="preserve">Tier A is intentionally not a mechanical 'top score' list. The numeric score is used to remove low-value papers, but the final must-read set is curated to cover the four roles needed by the manuscript: (1) problem/dataset justification, (2) direct honey-bee toxicity ML history and current state of the art, (3) classical methods that could materially improve the base study, and (4) quantum/QML prior art needed for a fair classical–quantum comparison. A small number of strategically important methodology papers are therefore marked as Tier A even if their endpoint-similarity score is lower. This avoids selecting 30 near-duplicate papers from one branch.</t>
  </si>
  <si>
    <t xml:space="preserve">Literature branch</t>
  </si>
  <si>
    <t xml:space="preserve">Stage 1 decision</t>
  </si>
  <si>
    <t xml:space="preserve">Endpoint relevance (0–2)</t>
  </si>
  <si>
    <t xml:space="preserve">Method relevance (0–2)</t>
  </si>
  <si>
    <t xml:space="preserve">Dataset comparability (0–2)</t>
  </si>
  <si>
    <t xml:space="preserve">Evaluation strength (0–2)</t>
  </si>
  <si>
    <t xml:space="preserve">Novelty importance (0–2)</t>
  </si>
  <si>
    <t xml:space="preserve">Total score</t>
  </si>
  <si>
    <t xml:space="preserve">Strategic Tier A override?</t>
  </si>
  <si>
    <t xml:space="preserve">Action now</t>
  </si>
  <si>
    <t xml:space="preserve">Why this priority?</t>
  </si>
  <si>
    <t xml:space="preserve">Direct bee-toxicity ML</t>
  </si>
  <si>
    <t xml:space="preserve">Read full text</t>
  </si>
  <si>
    <t xml:space="preserve">Study graph-attention representation, dataset, class balance, baseline fairness, and whether GNN gains survive external validation.</t>
  </si>
  <si>
    <t xml:space="preserve">Anchor paper</t>
  </si>
  <si>
    <t xml:space="preserve">Reconstruct the exact ApisTox task, MaxMin/time splits, class weighting, strongest baselines, failure modes of GNN/pretrained models, and the authors' stated gaps.</t>
  </si>
  <si>
    <t xml:space="preserve">Inspect the LLM/graph-learning pipeline, data leakage safeguards, split comparability with ApisTox, and whether gains are statistically credible.</t>
  </si>
  <si>
    <t xml:space="preserve">Focus on multimodal/mode-of-action integration, what extra information is used beyond structure, and whether comparison to structure-only baselines is fair.</t>
  </si>
  <si>
    <t xml:space="preserve">Inspect BeeToxAI dataset provenance, representation, model family, applicability-domain treatment, and deployment choices.</t>
  </si>
  <si>
    <t xml:space="preserve">Very relevant to the future quantum-kernel comparison: extract the graph kernel, SVM setup, hyperparameters, split design, and performance.</t>
  </si>
  <si>
    <t xml:space="preserve">Extract the algorithms/fingerprints compared, endpoint construction, validation, and strongest traditional ML baseline.</t>
  </si>
  <si>
    <t xml:space="preserve">Inspect data curation, mode-of-action integration, validation, and whether biological context improves structure-only QSAR.</t>
  </si>
  <si>
    <t xml:space="preserve">Check which in-silico structure–activity models are compared, their validation, and what limitations remain for agrochemical generalization.</t>
  </si>
  <si>
    <t xml:space="preserve">Critical comparison on ApisTox: note exact split, representation, GNN design, performance versus fingerprints/kernels, and claimed improvement.</t>
  </si>
  <si>
    <t xml:space="preserve">Focus on similarity/local learning (kNN), dataset size, feature representation, applicability domain, and how local methods generalize.</t>
  </si>
  <si>
    <t xml:space="preserve">Identify descriptors, endpoint definition, external validation design, and what the 2018 QSAR already established.</t>
  </si>
  <si>
    <t xml:space="preserve">Quantum / QML prior art</t>
  </si>
  <si>
    <t xml:space="preserve">QSAR classification with a hybrid NN+QNN. Extract parameter matching, encoding, number of qubits, and whether the classical comparison is genuinely fair.</t>
  </si>
  <si>
    <t xml:space="preserve">Very close pipeline: SMILES → fingerprints → dimensionality reduction → four qubits → QSVC/VQC/QAE. Check dataset/split rigor and classical baselines carefully.</t>
  </si>
  <si>
    <t xml:space="preserve">Foundational toxicity-QML paper: extract QSAR features, encoding, circuit/entanglement design, sample size, classical baselines and what 'better' actually means.</t>
  </si>
  <si>
    <t xml:space="preserve">Closest ADME-Tox quantum-kernel precedent: inspect descriptors/features, dimensionality reduction, QSVC/kernel construction and classical comparison.</t>
  </si>
  <si>
    <t xml:space="preserve">Transferable classical ML</t>
  </si>
  <si>
    <t xml:space="preserve">Inspect scaffold-based evaluation, dual-view fusion and contrastive pretraining as examples of stronger OOD evaluation and representation learning.</t>
  </si>
  <si>
    <t xml:space="preserve">Focus on the leak-free preprocessing pipeline, external validation, applicability domain, and fair comparison across classical models.</t>
  </si>
  <si>
    <t xml:space="preserve">Inspect q-RASAR/read-across versus QSAR, external validation, similarity information, and whether this could complement kernel-based ApisTox models.</t>
  </si>
  <si>
    <t xml:space="preserve">Understand the earlier QSTR/QSAR framing for regulatory bee-toxicity prediction and its classical modeling assumptions.</t>
  </si>
  <si>
    <t xml:space="preserve">Problem / dataset context</t>
  </si>
  <si>
    <t xml:space="preserve">Audit how the newer harmonized honey-bee dataset is curated from ECOTOX, how endpoints/uncertainty are handled, and whether it changes assumptions made in ApisTox.</t>
  </si>
  <si>
    <t xml:space="preserve">Extract evidence on whether Apis mellifera is a reliable proxy for other bee species; useful for delimiting what your endpoint can and cannot claim.</t>
  </si>
  <si>
    <t xml:space="preserve">Use it to justify systematic model × fingerprint selection and explainability rather than choosing a single representation a priori.</t>
  </si>
  <si>
    <t xml:space="preserve">Extract SALI/activity-cliff analysis, explainability, feature selection, and validation ideas that the base ApisTox work did not deeply explore.</t>
  </si>
  <si>
    <t xml:space="preserve">Especially relevant to ApisTox's low-data regime: extract how model performance changes with dataset size, representation and scaffold splits.</t>
  </si>
  <si>
    <t xml:space="preserve">Study consensus modeling across classifiers/endpoints and whether ensemble diversity could improve robustness on ApisTox.</t>
  </si>
  <si>
    <t xml:space="preserve">Important counterweight to advantage claims: inspect repeated evaluation, PCA-to-four-features pipeline, model matching and why classical SVM wins.</t>
  </si>
  <si>
    <t xml:space="preserve">Useful for quantum embeddings of molecular graphs; extract node/edge encoding, parameter count, hardware validation and claimed quantum advantage.</t>
  </si>
  <si>
    <t xml:space="preserve">Review QSVM/QBoost on real ADMET datasets, annealer constraints, embedding, sample sizes, and whether results show an advantage or merely feasibility.</t>
  </si>
  <si>
    <t xml:space="preserve">Study how molecular graph features are passed to VQCs and how the hybrid GNN comparison is designed; useful if considering a graph-aware quantum extension.</t>
  </si>
  <si>
    <t xml:space="preserve">Focus on molecular feature encoding, kernel circuit, hardware/noise conditions, dimensionality, and the exact classical kernel/SVR baselines.</t>
  </si>
  <si>
    <t xml:space="preserve">Not molecular, but directly useful for your experimental design: noise, imbalance, feature reduction and explainability in classical-vs-quantum benchmarking.</t>
  </si>
  <si>
    <t xml:space="preserve">Read abstract + figures/tables + relevant methods/results only</t>
  </si>
  <si>
    <t xml:space="preserve">Strong direct endpoint relevance; skim to extract dataset, representation, baseline, validation, and any limitation not already covered by Tier A papers.</t>
  </si>
  <si>
    <t xml:space="preserve">Useful supporting evidence; skim only if the corresponding problem/method claim is needed.</t>
  </si>
  <si>
    <t xml:space="preserve">Potentially transferable method or evaluation idea; skim only the sections that could change the classical experimental design.</t>
  </si>
  <si>
    <t xml:space="preserve">Do not read now; keep indexed for targeted citation/snowballing</t>
  </si>
  <si>
    <t xml:space="preserve">Retained from Stage 1, but its abstract adds limited incremental value after stronger relevance, comparability, evaluation, and novelty filtering.</t>
  </si>
  <si>
    <t xml:space="preserve">Tier A — Full-text reading shortlist</t>
  </si>
  <si>
    <t xml:space="preserve">These are the papers to read in full first. The set is deliberately balanced across problem/dataset justification, direct bee-toxicity ML, transferable classical improvements, and quantum/QML comparison design. Tier B papers should be skimmed only after these, and Tier C papers should remain indexed unless a specific claim requires them.</t>
  </si>
  <si>
    <t xml:space="preserve">Read order</t>
  </si>
  <si>
    <t xml:space="preserve">Role in the paper</t>
  </si>
  <si>
    <t xml:space="preserve">Reading block</t>
  </si>
  <si>
    <t xml:space="preserve">Score / 10</t>
  </si>
  <si>
    <t xml:space="preserve">What to extract while reading</t>
  </si>
  <si>
    <t xml:space="preserve">Anchor / base paper</t>
  </si>
  <si>
    <t xml:space="preserve">Start here</t>
  </si>
  <si>
    <t xml:space="preserve">Dataset &amp; problem</t>
  </si>
  <si>
    <t>Then</t>
  </si>
  <si>
    <t xml:space="preserve">Early prior art</t>
  </si>
  <si>
    <t xml:space="preserve">Classical baseline history</t>
  </si>
  <si>
    <t xml:space="preserve">Classical benchmark</t>
  </si>
  <si>
    <t xml:space="preserve">Deep-learning prior art</t>
  </si>
  <si>
    <t xml:space="preserve">Kernel prior art</t>
  </si>
  <si>
    <t xml:space="preserve">Recent prior art</t>
  </si>
  <si>
    <t xml:space="preserve">Same-dataset competitor</t>
  </si>
  <si>
    <t xml:space="preserve">Newest model</t>
  </si>
  <si>
    <t xml:space="preserve">Classical methodological upgrade</t>
  </si>
  <si>
    <t xml:space="preserve">Method transfer</t>
  </si>
  <si>
    <t xml:space="preserve">Quantum prior art</t>
  </si>
  <si>
    <t xml:space="preserve">Quantum core</t>
  </si>
  <si>
    <t xml:space="preserve">Quantum architecture</t>
  </si>
  <si>
    <t xml:space="preserve">Quantum kernel</t>
  </si>
  <si>
    <t xml:space="preserve">Quantum representation</t>
  </si>
  <si>
    <t xml:space="preserve">Negative/neutral evidence</t>
  </si>
  <si>
    <t xml:space="preserve">Quantum methodology</t>
  </si>
  <si>
    <t xml:space="preserve">Robustness methodology</t>
  </si>
  <si>
    <t xml:space="preserve">What to do after Tier A</t>
  </si>
  <si>
    <t xml:space="preserve">Only then move to Tier B. Do not read those papers linearly: use the title/abstract to decide which section matters, then jump directly to the dataset/method/evaluation/results sections. Tier C should normally not receive full-text reading; use it only for a specific citation, a missing historical link, or snowballing from a Tier A paper.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</si>
</sst>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name val="Carlito"/>
    </font>
    <font>
      <b/>
      <sz val="11.000000"/>
      <color indexed="65"/>
      <name val="Carlito"/>
    </font>
    <font>
      <b/>
      <sz val="15.000000"/>
      <color indexed="65"/>
      <name val="Carlito"/>
    </font>
    <font>
      <b/>
      <sz val="11.000000"/>
      <name val="Carlito"/>
    </font>
    <font>
      <b/>
      <sz val="16.000000"/>
      <color indexed="65"/>
      <name val="Carlito"/>
    </font>
    <font>
      <u/>
      <sz val="11.000000"/>
      <color theme="10"/>
      <name val="Carlito"/>
    </font>
    <font>
      <sz val="11.000000"/>
      <color indexed="2"/>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12">
    <xf fontId="0" fillId="0" borderId="0" numFmtId="0" xfId="0"/>
    <xf fontId="1" fillId="2" borderId="0" numFmtId="0" xfId="0" applyFont="1" applyFill="1" applyAlignment="1">
      <alignment horizontal="center" vertical="center" wrapText="1"/>
    </xf>
    <xf fontId="0" fillId="0" borderId="0" numFmtId="0" xfId="0" applyAlignment="1">
      <alignment vertical="top" wrapText="1"/>
    </xf>
    <xf fontId="2" fillId="2" borderId="0" numFmtId="0" xfId="0" applyFont="1" applyFill="1" applyAlignment="1">
      <alignment horizontal="center" vertical="center"/>
    </xf>
    <xf fontId="3" fillId="3" borderId="0" numFmtId="0" xfId="0" applyFont="1" applyFill="1" applyAlignment="1">
      <alignment horizontal="center"/>
    </xf>
    <xf fontId="3" fillId="3" borderId="0" numFmtId="0" xfId="0" applyFont="1" applyFill="1"/>
    <xf fontId="4" fillId="2" borderId="0" numFmtId="0" xfId="0" applyFont="1" applyFill="1" applyAlignment="1">
      <alignment horizontal="center" vertical="center"/>
    </xf>
    <xf fontId="3" fillId="3" borderId="0" numFmtId="0" xfId="0" applyFont="1" applyFill="1" applyAlignment="1">
      <alignment vertical="top" wrapText="1"/>
    </xf>
    <xf fontId="1" fillId="2" borderId="0" numFmtId="0" xfId="0" applyFont="1" applyFill="1" applyAlignment="1">
      <alignment vertical="top" wrapText="1"/>
    </xf>
    <xf fontId="2" fillId="2" borderId="0" numFmtId="0" xfId="0" applyFont="1" applyFill="1" applyAlignment="1">
      <alignment horizontal="center"/>
    </xf>
    <xf fontId="5" fillId="0" borderId="0" numFmtId="0" xfId="0" applyFont="1" applyAlignment="1">
      <alignment vertical="top" wrapText="1"/>
    </xf>
    <xf fontId="6" fillId="0" borderId="0" numFmtId="0" xfId="0" applyFont="1" applyAlignment="1">
      <alignment vertical="top" wrapText="1"/>
    </xf>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a:t>Screening funnel</a:t>
            </a:r>
            <a:endParaRPr/>
          </a:p>
        </c:rich>
      </c:tx>
      <c:layout/>
      <c:overlay val="0"/>
    </c:title>
    <c:plotArea>
      <c:layout/>
      <c:barChart>
        <c:barDir val="col"/>
        <c:varyColors val="0"/>
        <c:ser>
          <c:idx val="0"/>
          <c:order val="0"/>
          <c:tx>
            <c:v>Count</c:v>
          </c:tx>
          <c:cat>
            <c:strRef>
              <c:f>'Screening process'!$A$11:$A$15</c:f>
              <c:strCache>
                <c:ptCount val="0"/>
              </c:strCache>
            </c:strRef>
          </c:cat>
          <c:val>
            <c:numRef>
              <c:f>'Screening process'!$B$11:$B$15</c:f>
              <c:numCache>
                <c:formatCode>General</c:formatCode>
                <c:ptCount val="0"/>
              </c:numCache>
            </c:numRef>
          </c:val>
        </c:ser>
        <c:dLbls>
          <c:showBubbleSize val="0"/>
          <c:showCatName val="0"/>
          <c:showLegendKey val="0"/>
          <c:showPercent val="0"/>
          <c:showSerName val="0"/>
          <c:showVal val="0"/>
        </c:dLbls>
        <c:gapWidth val="150"/>
        <c:axId val="48650112"/>
        <c:axId val="48672768"/>
      </c:barChart>
      <c:catAx>
        <c:axId val="48650112"/>
        <c:scaling>
          <c:orientation val="minMax"/>
        </c:scaling>
        <c:delete val="0"/>
        <c:axPos val="b"/>
        <c:majorGridlines>
          <c:spPr bwMode="auto">
            <a:prstGeom prst="rect">
              <a:avLst/>
            </a:prstGeom>
            <a:l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bwMode="auto">
            <a:prstGeom prst="rect">
              <a:avLst/>
            </a:prstGeom>
            <a:ln w="9525">
              <a:solidFill>
                <a:srgbClr val="CCCCCC"/>
              </a:solidFill>
              <a:prstDash val="dash"/>
            </a:ln>
          </c:spPr>
        </c:majorGridlines>
        <c:numFmt formatCode="General"/>
        <c:majorTickMark val="none"/>
        <c:minorTickMark val="none"/>
        <c:crossAx val="48650112"/>
        <c:crosses val="autoZero"/>
        <c:crossBetween val="between"/>
      </c:valAx>
    </c:plotArea>
    <c:plotVisOnly val="1"/>
    <c:showDLblsOverMax val="0"/>
  </c:chart>
  <c:spPr bwMode="auto">
    <a:xfrm rot="0">
      <a:off x="0" y="0"/>
      <a:ext cx="0" cy="0"/>
    </a:xfrm>
    <a:prstGeom prst="rect">
      <a:avLst/>
    </a:prstGeom>
    <a:ln w="9525">
      <a:solidFill>
        <a:srgbClr val="D9D9D9"/>
      </a:solidFill>
      <a:prstDash val="solid"/>
    </a:ln>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7</xdr:col>
      <xdr:colOff>0</xdr:colOff>
      <xdr:row>2</xdr:row>
      <xdr:rowOff>0</xdr:rowOff>
    </xdr:from>
    <xdr:to>
      <xdr:col>14</xdr:col>
      <xdr:colOff>0</xdr:colOff>
      <xdr:row>18</xdr:row>
      <xdr:rowOff>0</xdr:rowOff>
    </xdr:to>
    <xdr:graphicFrame>
      <xdr:nvGraphicFramePr>
        <xdr:cNvPr id="1" name="Chart"/>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CombinedScreening" ref="A1:V264" headerRowCount="1" totalsRowCount="0">
  <tableColumns count="22">
    <tableColumn id="1" name="#"/>
    <tableColumn id="2" name="Year"/>
    <tableColumn id="3" name="Title"/>
    <tableColumn id="4" name="Found in search(es)"/>
    <tableColumn id="5" name="Duplicate across searches?"/>
    <tableColumn id="6" name="Decision"/>
    <tableColumn id="7" name="Priority"/>
    <tableColumn id="8" name="Relevance category"/>
    <tableColumn id="9" name="AI / ML / QML?"/>
    <tableColumn id="10" name="What is predicted?"/>
    <tableColumn id="11" name="Task"/>
    <tableColumn id="12" name="Dataset / N"/>
    <tableColumn id="13" name="Input / representation"/>
    <tableColumn id="14" name="Models / approach"/>
    <tableColumn id="15" name="Validation"/>
    <tableColumn id="16" name="Reported result"/>
    <tableColumn id="17" name="Quantum relation"/>
    <tableColumn id="18" name="Why useful for our paper?"/>
    <tableColumn id="19" name="Source title"/>
    <tableColumn id="20" name="DOI"/>
    <tableColumn id="21" name="Scopus link"/>
    <tableColumn id="22" name="Open acce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CoreLiterature" ref="A1:V136" headerRowCount="1" totalsRowCount="0">
  <tableColumns count="22">
    <tableColumn id="1" name="#"/>
    <tableColumn id="2" name="Year"/>
    <tableColumn id="3" name="Title"/>
    <tableColumn id="4" name="Found in search(es)"/>
    <tableColumn id="5" name="Duplicate across searches?"/>
    <tableColumn id="6" name="Decision"/>
    <tableColumn id="7" name="Priority"/>
    <tableColumn id="8" name="Relevance category"/>
    <tableColumn id="9" name="AI / ML / QML?"/>
    <tableColumn id="10" name="What is predicted?"/>
    <tableColumn id="11" name="Task"/>
    <tableColumn id="12" name="Dataset / N"/>
    <tableColumn id="13" name="Input / representation"/>
    <tableColumn id="14" name="Models / approach"/>
    <tableColumn id="15" name="Validation"/>
    <tableColumn id="16" name="Reported result"/>
    <tableColumn id="17" name="Quantum relation"/>
    <tableColumn id="18" name="Why useful for our paper?"/>
    <tableColumn id="19" name="Source title"/>
    <tableColumn id="20" name="DOI"/>
    <tableColumn id="21" name="Scopus link"/>
    <tableColumn id="22" name="Open acces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DuplicatePapers" ref="A11:H29" headerRowCount="1" totalsRowCount="0">
  <tableColumns count="8">
    <tableColumn id="1" name="#"/>
    <tableColumn id="2" name="Year"/>
    <tableColumn id="3" name="Title"/>
    <tableColumn id="4" name="Occurrences / searches"/>
    <tableColumn id="5" name="Appears in"/>
    <tableColumn id="6" name="Source title"/>
    <tableColumn id="7" name="DOI"/>
    <tableColumn id="8" name="E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AllSearchHits" ref="A1:L282" headerRowCount="1" totalsRowCount="0">
  <tableColumns count="12">
    <tableColumn id="1" name="Search corpus"/>
    <tableColumn id="2" name="Search #"/>
    <tableColumn id="3" name="Year"/>
    <tableColumn id="4" name="Title"/>
    <tableColumn id="5" name="Authors"/>
    <tableColumn id="6" name="Source title"/>
    <tableColumn id="7" name="Cited by"/>
    <tableColumn id="8" name="DOI"/>
    <tableColumn id="9" name="Scopus link"/>
    <tableColumn id="10" name="Document Type"/>
    <tableColumn id="11" name="Open Access"/>
    <tableColumn id="12" name="Abstrac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UniqueScopusMetadata" ref="A1:N264" headerRowCount="1" totalsRowCount="0">
  <tableColumns count="14">
    <tableColumn id="1" name="#"/>
    <tableColumn id="2" name="Found in search(es)"/>
    <tableColumn id="3" name="Year"/>
    <tableColumn id="4" name="Title"/>
    <tableColumn id="5" name="Authors"/>
    <tableColumn id="6" name="Source title"/>
    <tableColumn id="7" name="Cited by"/>
    <tableColumn id="8" name="DOI"/>
    <tableColumn id="9" name="Scopus link"/>
    <tableColumn id="10" name="Author Keywords"/>
    <tableColumn id="11" name="Index Keywords"/>
    <tableColumn id="12" name="Document Type"/>
    <tableColumn id="13" name="Open Access"/>
    <tableColumn id="14" name="Abstrac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Stage2Triage" ref="A1:P232" headerRowCount="1" totalsRowCount="0">
  <tableColumns count="16">
    <tableColumn id="1" name="#"/>
    <tableColumn id="2" name="Year"/>
    <tableColumn id="3" name="Title"/>
    <tableColumn id="4" name="Literature branch"/>
    <tableColumn id="5" name="Stage 1 decision"/>
    <tableColumn id="6" name="Endpoint relevance (0–2)"/>
    <tableColumn id="7" name="Method relevance (0–2)"/>
    <tableColumn id="8" name="Dataset comparability (0–2)"/>
    <tableColumn id="9" name="Evaluation strength (0–2)"/>
    <tableColumn id="10" name="Novelty importance (0–2)"/>
    <tableColumn id="11" name="Total score"/>
    <tableColumn id="12" name="Strategic Tier A override?"/>
    <tableColumn id="13" name="Reading tier"/>
    <tableColumn id="14" name="Action now"/>
    <tableColumn id="15" name="Why this priority?"/>
    <tableColumn id="16" name="DOI"/>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ReadFirstTierA" ref="A5:J37" headerRowCount="1" totalsRowCount="0">
  <tableColumns count="10">
    <tableColumn id="1" name="Read order"/>
    <tableColumn id="2" name="#"/>
    <tableColumn id="3" name="Year"/>
    <tableColumn id="4" name="Title"/>
    <tableColumn id="5" name="Role in the paper"/>
    <tableColumn id="6" name="Reading block"/>
    <tableColumn id="7" name="Score / 10"/>
    <tableColumn id="8" name="What to extract while reading"/>
    <tableColumn id="9" name="Found in search(es)"/>
    <tableColumn id="10" name="DOI"/>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6.xml.rels><?xml version="1.0" encoding="UTF-8" standalone="yes"?><Relationships xmlns="http://schemas.openxmlformats.org/package/2006/relationships"><Relationship  Id="rId1" Type="http://schemas.openxmlformats.org/officeDocument/2006/relationships/table" Target="../tables/table4.xml"/></Relationships>
</file>

<file path=xl/worksheets/_rels/sheet7.xml.rels><?xml version="1.0" encoding="UTF-8" standalone="yes"?><Relationships xmlns="http://schemas.openxmlformats.org/package/2006/relationships"><Relationship  Id="rId1" Type="http://schemas.openxmlformats.org/officeDocument/2006/relationships/table" Target="../tables/table5.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Relationships xmlns="http://schemas.openxmlformats.org/package/2006/relationships"><Relationship  Id="rId1" Type="http://schemas.openxmlformats.org/officeDocument/2006/relationships/hyperlink" Target="https://doi.org/10.1016/j.ecoenv.2026.119869" TargetMode="External"/><Relationship  Id="rId10" Type="http://schemas.openxmlformats.org/officeDocument/2006/relationships/hyperlink" Target="https://doi.org/10.1007/s10646-025-02970-0" TargetMode="External"/><Relationship  Id="rId11" Type="http://schemas.openxmlformats.org/officeDocument/2006/relationships/hyperlink" Target="https://doi.org/10.1021/acs.est.5c18162" TargetMode="External"/><Relationship  Id="rId12" Type="http://schemas.openxmlformats.org/officeDocument/2006/relationships/hyperlink" Target="https://doi.org/10.1016/j.jhazmat.2025.141018" TargetMode="External"/><Relationship  Id="rId13" Type="http://schemas.openxmlformats.org/officeDocument/2006/relationships/hyperlink" Target="https://doi.org/10.1016/j.vascn.2026.108426" TargetMode="External"/><Relationship  Id="rId14" Type="http://schemas.openxmlformats.org/officeDocument/2006/relationships/hyperlink" Target="https://doi.org/10.1021/acsomega.4c09356" TargetMode="External"/><Relationship  Id="rId15" Type="http://schemas.openxmlformats.org/officeDocument/2006/relationships/hyperlink" Target="https://doi.org/10.1111/jcmm.71067" TargetMode="External"/><Relationship  Id="rId16" Type="http://schemas.openxmlformats.org/officeDocument/2006/relationships/hyperlink" Target="https://doi.org/10.1021/acsestwater.5c00850" TargetMode="External"/><Relationship  Id="rId17" Type="http://schemas.openxmlformats.org/officeDocument/2006/relationships/hyperlink" Target="https://doi.org/10.1021/acsomega.4c04474" TargetMode="External"/><Relationship  Id="rId18" Type="http://schemas.openxmlformats.org/officeDocument/2006/relationships/hyperlink" Target="https://doi.org/10.1016/j.toxlet.2025.06.019" TargetMode="External"/><Relationship  Id="rId19" Type="http://schemas.openxmlformats.org/officeDocument/2006/relationships/hyperlink" Target="https://doi.org/10.1007/s11030-026-11615-1" TargetMode="External"/><Relationship  Id="rId2" Type="http://schemas.openxmlformats.org/officeDocument/2006/relationships/hyperlink" Target="https://doi.org/10.1016/j.scitotenv.2016.10.180" TargetMode="External"/><Relationship  Id="rId20" Type="http://schemas.openxmlformats.org/officeDocument/2006/relationships/hyperlink" Target="https://doi.org/10.1088/2399-6528/abd3d8" TargetMode="External"/><Relationship  Id="rId21" Type="http://schemas.openxmlformats.org/officeDocument/2006/relationships/hyperlink" Target="https://doi.org/10.1021/acs.jcim.3c01079" TargetMode="External"/><Relationship  Id="rId22" Type="http://schemas.openxmlformats.org/officeDocument/2006/relationships/hyperlink" Target="https://doi.org/10.1109/ACCESS.2025.3531391" TargetMode="External"/><Relationship  Id="rId23" Type="http://schemas.openxmlformats.org/officeDocument/2006/relationships/hyperlink" Target="https://doi.org/10.1109/HPEC67600.2025.11196555" TargetMode="External"/><Relationship  Id="rId24" Type="http://schemas.openxmlformats.org/officeDocument/2006/relationships/hyperlink" Target="https://doi.org/10.1109/QCNC64685.2025.00074" TargetMode="External"/><Relationship  Id="rId25" Type="http://schemas.openxmlformats.org/officeDocument/2006/relationships/hyperlink" Target="https://doi.org/10.1109/ICWITE64848.2025.11307106" TargetMode="External"/><Relationship  Id="rId26" Type="http://schemas.openxmlformats.org/officeDocument/2006/relationships/hyperlink" Target="https://doi.org/10.1021/acs.jcim.5c01019" TargetMode="External"/><Relationship  Id="rId27" Type="http://schemas.openxmlformats.org/officeDocument/2006/relationships/hyperlink" Target="https://doi.org/10.26877/asset.v8i2.2733" TargetMode="External"/><Relationship  Id="rId28" Type="http://schemas.openxmlformats.org/officeDocument/2006/relationships/hyperlink" Target="https://doi.org/10.1038/s41598-025-28412-9" TargetMode="External"/><Relationship  Id="rId29" Type="http://schemas.openxmlformats.org/officeDocument/2006/relationships/table" Target="../tables/table7.xml"/><Relationship  Id="rId3" Type="http://schemas.openxmlformats.org/officeDocument/2006/relationships/hyperlink" Target="https://doi.org/10.1007/s11356-017-0498-9" TargetMode="External"/><Relationship  Id="rId4" Type="http://schemas.openxmlformats.org/officeDocument/2006/relationships/hyperlink" Target="https://doi.org/10.1021/tx500100m" TargetMode="External"/><Relationship  Id="rId5" Type="http://schemas.openxmlformats.org/officeDocument/2006/relationships/hyperlink" Target="https://doi.org/10.1016/j.chemosphere.2016.09.092" TargetMode="External"/><Relationship  Id="rId6" Type="http://schemas.openxmlformats.org/officeDocument/2006/relationships/hyperlink" Target="https://doi.org/10.1016/j.scitotenv.2020.139243" TargetMode="External"/><Relationship  Id="rId7" Type="http://schemas.openxmlformats.org/officeDocument/2006/relationships/hyperlink" Target="https://doi.org/10.1016/j.ailsci.2021.100013" TargetMode="External"/><Relationship  Id="rId8" Type="http://schemas.openxmlformats.org/officeDocument/2006/relationships/hyperlink" Target="https://doi.org/10.1063/5.0090573" TargetMode="External"/><Relationship  Id="rId9" Type="http://schemas.openxmlformats.org/officeDocument/2006/relationships/hyperlink" Target="https://doi.org/10.1021/acs.jafc.4c0251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5"/>
    <col customWidth="1" min="2" max="2" width="8"/>
    <col customWidth="1" min="3" max="3" width="48"/>
    <col customWidth="1" min="4" max="4" width="31"/>
    <col customWidth="1" min="5" max="5" width="13"/>
    <col customWidth="1" min="6" max="6" width="12"/>
    <col customWidth="1" min="7" max="7" width="10"/>
    <col customWidth="1" min="8" max="8" width="39"/>
    <col customWidth="1" min="9" max="9" width="30"/>
    <col customWidth="1" min="10" max="10" width="31"/>
    <col customWidth="1" min="11" max="11" width="25"/>
    <col customWidth="1" min="12" max="12" width="26"/>
    <col customWidth="1" min="13" max="14" width="36"/>
    <col customWidth="1" min="15" max="15" width="32"/>
    <col customWidth="1" min="16" max="16" width="48"/>
    <col customWidth="1" min="17" max="17" width="31"/>
    <col customWidth="1" min="18" max="18" width="55"/>
    <col customWidth="1" min="19" max="19" width="30"/>
    <col customWidth="1" min="20" max="20" width="31"/>
    <col customWidth="1" min="21" max="21" width="36"/>
    <col customWidth="1" min="22" max="22" width="18"/>
  </cols>
  <sheetData>
    <row r="1" ht="4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42.75">
      <c r="A2" s="2">
        <v>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25</v>
      </c>
      <c r="R2" s="2" t="s">
        <v>37</v>
      </c>
      <c r="S2" s="2" t="s">
        <v>38</v>
      </c>
      <c r="T2" s="2" t="s">
        <v>39</v>
      </c>
      <c r="U2" s="2" t="s">
        <v>40</v>
      </c>
      <c r="V2" s="2"/>
    </row>
    <row r="3" ht="71.25">
      <c r="A3" s="2">
        <v>2</v>
      </c>
      <c r="B3" s="2" t="s">
        <v>41</v>
      </c>
      <c r="C3" s="2" t="s">
        <v>42</v>
      </c>
      <c r="D3" s="2" t="s">
        <v>43</v>
      </c>
      <c r="E3" s="2" t="s">
        <v>44</v>
      </c>
      <c r="F3" s="2" t="s">
        <v>26</v>
      </c>
      <c r="G3" s="2" t="s">
        <v>27</v>
      </c>
      <c r="H3" s="2" t="s">
        <v>45</v>
      </c>
      <c r="I3" s="2" t="s">
        <v>46</v>
      </c>
      <c r="J3" s="2" t="s">
        <v>47</v>
      </c>
      <c r="K3" s="2" t="s">
        <v>48</v>
      </c>
      <c r="L3" s="2" t="s">
        <v>33</v>
      </c>
      <c r="M3" s="2" t="s">
        <v>49</v>
      </c>
      <c r="N3" s="2" t="s">
        <v>34</v>
      </c>
      <c r="O3" s="2" t="s">
        <v>50</v>
      </c>
      <c r="P3" s="2" t="s">
        <v>51</v>
      </c>
      <c r="Q3" s="2" t="s">
        <v>25</v>
      </c>
      <c r="R3" s="2" t="s">
        <v>52</v>
      </c>
      <c r="S3" s="2" t="s">
        <v>53</v>
      </c>
      <c r="T3" s="2" t="s">
        <v>54</v>
      </c>
      <c r="U3" s="2" t="s">
        <v>55</v>
      </c>
      <c r="V3" s="2"/>
    </row>
    <row r="4" ht="71.25">
      <c r="A4" s="2">
        <v>3</v>
      </c>
      <c r="B4" s="2" t="s">
        <v>56</v>
      </c>
      <c r="C4" s="2" t="s">
        <v>57</v>
      </c>
      <c r="D4" s="2" t="s">
        <v>24</v>
      </c>
      <c r="E4" s="2" t="s">
        <v>25</v>
      </c>
      <c r="F4" s="2" t="s">
        <v>58</v>
      </c>
      <c r="G4" s="2" t="s">
        <v>59</v>
      </c>
      <c r="H4" s="2" t="s">
        <v>60</v>
      </c>
      <c r="I4" s="2" t="s">
        <v>29</v>
      </c>
      <c r="J4" s="2" t="s">
        <v>61</v>
      </c>
      <c r="K4" s="2" t="s">
        <v>62</v>
      </c>
      <c r="L4" s="2" t="s">
        <v>33</v>
      </c>
      <c r="M4" s="2" t="s">
        <v>63</v>
      </c>
      <c r="N4" s="2" t="s">
        <v>64</v>
      </c>
      <c r="O4" s="2" t="s">
        <v>33</v>
      </c>
      <c r="P4" s="2" t="s">
        <v>65</v>
      </c>
      <c r="Q4" s="2" t="s">
        <v>25</v>
      </c>
      <c r="R4" s="2" t="s">
        <v>66</v>
      </c>
      <c r="S4" s="2" t="s">
        <v>67</v>
      </c>
      <c r="T4" s="2" t="s">
        <v>68</v>
      </c>
      <c r="U4" s="2" t="s">
        <v>69</v>
      </c>
      <c r="V4" s="2"/>
    </row>
    <row r="5" ht="42.75">
      <c r="A5" s="2">
        <v>4</v>
      </c>
      <c r="B5" s="2" t="s">
        <v>70</v>
      </c>
      <c r="C5" s="2" t="s">
        <v>71</v>
      </c>
      <c r="D5" s="2" t="s">
        <v>24</v>
      </c>
      <c r="E5" s="2" t="s">
        <v>25</v>
      </c>
      <c r="F5" s="2" t="s">
        <v>72</v>
      </c>
      <c r="G5" s="2" t="s">
        <v>73</v>
      </c>
      <c r="H5" s="2" t="s">
        <v>74</v>
      </c>
      <c r="I5" s="2" t="s">
        <v>75</v>
      </c>
      <c r="J5" s="2" t="s">
        <v>30</v>
      </c>
      <c r="K5" s="2" t="s">
        <v>62</v>
      </c>
      <c r="L5" s="2" t="s">
        <v>33</v>
      </c>
      <c r="M5" s="2" t="s">
        <v>33</v>
      </c>
      <c r="N5" s="2" t="s">
        <v>33</v>
      </c>
      <c r="O5" s="2" t="s">
        <v>33</v>
      </c>
      <c r="P5" s="2" t="s">
        <v>76</v>
      </c>
      <c r="Q5" s="2" t="s">
        <v>25</v>
      </c>
      <c r="R5" s="2" t="s">
        <v>77</v>
      </c>
      <c r="S5" s="2" t="s">
        <v>78</v>
      </c>
      <c r="T5" s="2" t="s">
        <v>79</v>
      </c>
      <c r="U5" s="2" t="s">
        <v>80</v>
      </c>
      <c r="V5" s="2" t="s">
        <v>81</v>
      </c>
    </row>
    <row r="6" ht="71.25">
      <c r="A6" s="2">
        <v>5</v>
      </c>
      <c r="B6" s="2" t="s">
        <v>82</v>
      </c>
      <c r="C6" s="2" t="s">
        <v>83</v>
      </c>
      <c r="D6" s="2" t="s">
        <v>24</v>
      </c>
      <c r="E6" s="2" t="s">
        <v>25</v>
      </c>
      <c r="F6" s="2" t="s">
        <v>58</v>
      </c>
      <c r="G6" s="2" t="s">
        <v>59</v>
      </c>
      <c r="H6" s="2" t="s">
        <v>60</v>
      </c>
      <c r="I6" s="2" t="s">
        <v>29</v>
      </c>
      <c r="J6" s="2" t="s">
        <v>84</v>
      </c>
      <c r="K6" s="2" t="s">
        <v>62</v>
      </c>
      <c r="L6" s="2" t="s">
        <v>33</v>
      </c>
      <c r="M6" s="2" t="s">
        <v>85</v>
      </c>
      <c r="N6" s="2" t="s">
        <v>86</v>
      </c>
      <c r="O6" s="2" t="s">
        <v>35</v>
      </c>
      <c r="P6" s="2" t="s">
        <v>87</v>
      </c>
      <c r="Q6" s="2" t="s">
        <v>25</v>
      </c>
      <c r="R6" s="2" t="s">
        <v>66</v>
      </c>
      <c r="S6" s="2" t="s">
        <v>88</v>
      </c>
      <c r="T6" s="2" t="s">
        <v>89</v>
      </c>
      <c r="U6" s="2" t="s">
        <v>90</v>
      </c>
      <c r="V6" s="2"/>
    </row>
    <row r="7" ht="42.75">
      <c r="A7" s="2">
        <v>6</v>
      </c>
      <c r="B7" s="2" t="s">
        <v>56</v>
      </c>
      <c r="C7" s="2" t="s">
        <v>91</v>
      </c>
      <c r="D7" s="2" t="s">
        <v>24</v>
      </c>
      <c r="E7" s="2" t="s">
        <v>25</v>
      </c>
      <c r="F7" s="2" t="s">
        <v>58</v>
      </c>
      <c r="G7" s="2" t="s">
        <v>59</v>
      </c>
      <c r="H7" s="2" t="s">
        <v>60</v>
      </c>
      <c r="I7" s="2" t="s">
        <v>29</v>
      </c>
      <c r="J7" s="2" t="s">
        <v>61</v>
      </c>
      <c r="K7" s="2" t="s">
        <v>31</v>
      </c>
      <c r="L7" s="2" t="s">
        <v>33</v>
      </c>
      <c r="M7" s="2" t="s">
        <v>63</v>
      </c>
      <c r="N7" s="2" t="s">
        <v>92</v>
      </c>
      <c r="O7" s="2" t="s">
        <v>93</v>
      </c>
      <c r="P7" s="2" t="s">
        <v>76</v>
      </c>
      <c r="Q7" s="2" t="s">
        <v>25</v>
      </c>
      <c r="R7" s="2" t="s">
        <v>66</v>
      </c>
      <c r="S7" s="2" t="s">
        <v>94</v>
      </c>
      <c r="T7" s="2" t="s">
        <v>95</v>
      </c>
      <c r="U7" s="2" t="s">
        <v>96</v>
      </c>
      <c r="V7" s="2" t="s">
        <v>81</v>
      </c>
    </row>
    <row r="8" ht="42.75">
      <c r="A8" s="2">
        <v>7</v>
      </c>
      <c r="B8" s="2" t="s">
        <v>41</v>
      </c>
      <c r="C8" s="2" t="s">
        <v>97</v>
      </c>
      <c r="D8" s="2" t="s">
        <v>24</v>
      </c>
      <c r="E8" s="2" t="s">
        <v>25</v>
      </c>
      <c r="F8" s="2" t="s">
        <v>72</v>
      </c>
      <c r="G8" s="2" t="s">
        <v>73</v>
      </c>
      <c r="H8" s="2" t="s">
        <v>74</v>
      </c>
      <c r="I8" s="2" t="s">
        <v>75</v>
      </c>
      <c r="J8" s="2" t="s">
        <v>98</v>
      </c>
      <c r="K8" s="2" t="s">
        <v>99</v>
      </c>
      <c r="L8" s="2" t="s">
        <v>33</v>
      </c>
      <c r="M8" s="2" t="s">
        <v>33</v>
      </c>
      <c r="N8" s="2" t="s">
        <v>33</v>
      </c>
      <c r="O8" s="2" t="s">
        <v>33</v>
      </c>
      <c r="P8" s="2" t="s">
        <v>76</v>
      </c>
      <c r="Q8" s="2" t="s">
        <v>25</v>
      </c>
      <c r="R8" s="2" t="s">
        <v>77</v>
      </c>
      <c r="S8" s="2" t="s">
        <v>100</v>
      </c>
      <c r="T8" s="2" t="s">
        <v>101</v>
      </c>
      <c r="U8" s="2" t="s">
        <v>102</v>
      </c>
      <c r="V8" s="2"/>
    </row>
    <row r="9" ht="57">
      <c r="A9" s="2">
        <v>8</v>
      </c>
      <c r="B9" s="2" t="s">
        <v>41</v>
      </c>
      <c r="C9" s="2" t="s">
        <v>103</v>
      </c>
      <c r="D9" s="2" t="s">
        <v>24</v>
      </c>
      <c r="E9" s="2" t="s">
        <v>25</v>
      </c>
      <c r="F9" s="2" t="s">
        <v>26</v>
      </c>
      <c r="G9" s="2" t="s">
        <v>27</v>
      </c>
      <c r="H9" s="2" t="s">
        <v>28</v>
      </c>
      <c r="I9" s="2" t="s">
        <v>29</v>
      </c>
      <c r="J9" s="2" t="s">
        <v>30</v>
      </c>
      <c r="K9" s="2" t="s">
        <v>104</v>
      </c>
      <c r="L9" s="2" t="s">
        <v>33</v>
      </c>
      <c r="M9" s="2" t="s">
        <v>33</v>
      </c>
      <c r="N9" s="2" t="s">
        <v>105</v>
      </c>
      <c r="O9" s="2" t="s">
        <v>33</v>
      </c>
      <c r="P9" s="2" t="s">
        <v>106</v>
      </c>
      <c r="Q9" s="2" t="s">
        <v>25</v>
      </c>
      <c r="R9" s="2" t="s">
        <v>37</v>
      </c>
      <c r="S9" s="2" t="s">
        <v>107</v>
      </c>
      <c r="T9" s="2" t="s">
        <v>108</v>
      </c>
      <c r="U9" s="2" t="s">
        <v>109</v>
      </c>
      <c r="V9" s="2"/>
    </row>
    <row r="10" ht="57">
      <c r="A10" s="2">
        <v>9</v>
      </c>
      <c r="B10" s="2" t="s">
        <v>110</v>
      </c>
      <c r="C10" s="2" t="s">
        <v>111</v>
      </c>
      <c r="D10" s="2" t="s">
        <v>24</v>
      </c>
      <c r="E10" s="2" t="s">
        <v>25</v>
      </c>
      <c r="F10" s="2" t="s">
        <v>58</v>
      </c>
      <c r="G10" s="2" t="s">
        <v>59</v>
      </c>
      <c r="H10" s="2" t="s">
        <v>60</v>
      </c>
      <c r="I10" s="2" t="s">
        <v>29</v>
      </c>
      <c r="J10" s="2" t="s">
        <v>112</v>
      </c>
      <c r="K10" s="2" t="s">
        <v>104</v>
      </c>
      <c r="L10" s="2" t="s">
        <v>33</v>
      </c>
      <c r="M10" s="2" t="s">
        <v>113</v>
      </c>
      <c r="N10" s="2" t="s">
        <v>34</v>
      </c>
      <c r="O10" s="2" t="s">
        <v>33</v>
      </c>
      <c r="P10" s="2" t="s">
        <v>76</v>
      </c>
      <c r="Q10" s="2" t="s">
        <v>25</v>
      </c>
      <c r="R10" s="2" t="s">
        <v>66</v>
      </c>
      <c r="S10" s="2" t="s">
        <v>114</v>
      </c>
      <c r="T10" s="2" t="s">
        <v>115</v>
      </c>
      <c r="U10" s="2" t="s">
        <v>116</v>
      </c>
      <c r="V10" s="2" t="s">
        <v>81</v>
      </c>
    </row>
    <row r="11" ht="57">
      <c r="A11" s="2">
        <v>10</v>
      </c>
      <c r="B11" s="2" t="s">
        <v>117</v>
      </c>
      <c r="C11" s="2" t="s">
        <v>118</v>
      </c>
      <c r="D11" s="2" t="s">
        <v>43</v>
      </c>
      <c r="E11" s="2" t="s">
        <v>44</v>
      </c>
      <c r="F11" s="2" t="s">
        <v>26</v>
      </c>
      <c r="G11" s="2" t="s">
        <v>73</v>
      </c>
      <c r="H11" s="2" t="s">
        <v>45</v>
      </c>
      <c r="I11" s="2" t="s">
        <v>29</v>
      </c>
      <c r="J11" s="2" t="s">
        <v>112</v>
      </c>
      <c r="K11" s="2" t="s">
        <v>48</v>
      </c>
      <c r="L11" s="2" t="s">
        <v>33</v>
      </c>
      <c r="M11" s="2" t="s">
        <v>33</v>
      </c>
      <c r="N11" s="2" t="s">
        <v>119</v>
      </c>
      <c r="O11" s="2" t="s">
        <v>33</v>
      </c>
      <c r="P11" s="2" t="s">
        <v>120</v>
      </c>
      <c r="Q11" s="2" t="s">
        <v>25</v>
      </c>
      <c r="R11" s="2" t="s">
        <v>52</v>
      </c>
      <c r="S11" s="2" t="s">
        <v>121</v>
      </c>
      <c r="T11" s="2" t="s">
        <v>122</v>
      </c>
      <c r="U11" s="2" t="s">
        <v>123</v>
      </c>
      <c r="V11" s="2"/>
    </row>
    <row r="12" ht="42.75">
      <c r="A12" s="2">
        <v>11</v>
      </c>
      <c r="B12" s="2" t="s">
        <v>110</v>
      </c>
      <c r="C12" s="2" t="s">
        <v>124</v>
      </c>
      <c r="D12" s="2" t="s">
        <v>43</v>
      </c>
      <c r="E12" s="2" t="s">
        <v>44</v>
      </c>
      <c r="F12" s="2" t="s">
        <v>26</v>
      </c>
      <c r="G12" s="2" t="s">
        <v>73</v>
      </c>
      <c r="H12" s="2" t="s">
        <v>45</v>
      </c>
      <c r="I12" s="2" t="s">
        <v>29</v>
      </c>
      <c r="J12" s="2" t="s">
        <v>84</v>
      </c>
      <c r="K12" s="2" t="s">
        <v>31</v>
      </c>
      <c r="L12" s="2" t="s">
        <v>33</v>
      </c>
      <c r="M12" s="2" t="s">
        <v>125</v>
      </c>
      <c r="N12" s="2" t="s">
        <v>126</v>
      </c>
      <c r="O12" s="2" t="s">
        <v>33</v>
      </c>
      <c r="P12" s="2" t="s">
        <v>127</v>
      </c>
      <c r="Q12" s="2" t="s">
        <v>25</v>
      </c>
      <c r="R12" s="2" t="s">
        <v>52</v>
      </c>
      <c r="S12" s="2" t="s">
        <v>128</v>
      </c>
      <c r="T12" s="2" t="s">
        <v>129</v>
      </c>
      <c r="U12" s="2" t="s">
        <v>130</v>
      </c>
      <c r="V12" s="2"/>
    </row>
    <row r="13" ht="42.75">
      <c r="A13" s="2">
        <v>12</v>
      </c>
      <c r="B13" s="2" t="s">
        <v>131</v>
      </c>
      <c r="C13" s="2" t="s">
        <v>132</v>
      </c>
      <c r="D13" s="2" t="s">
        <v>43</v>
      </c>
      <c r="E13" s="2" t="s">
        <v>44</v>
      </c>
      <c r="F13" s="2" t="s">
        <v>26</v>
      </c>
      <c r="G13" s="2" t="s">
        <v>73</v>
      </c>
      <c r="H13" s="2" t="s">
        <v>45</v>
      </c>
      <c r="I13" s="2" t="s">
        <v>46</v>
      </c>
      <c r="J13" s="2" t="s">
        <v>47</v>
      </c>
      <c r="K13" s="2" t="s">
        <v>104</v>
      </c>
      <c r="L13" s="2" t="s">
        <v>33</v>
      </c>
      <c r="M13" s="2" t="s">
        <v>133</v>
      </c>
      <c r="N13" s="2" t="s">
        <v>86</v>
      </c>
      <c r="O13" s="2" t="s">
        <v>33</v>
      </c>
      <c r="P13" s="2" t="s">
        <v>134</v>
      </c>
      <c r="Q13" s="2" t="s">
        <v>25</v>
      </c>
      <c r="R13" s="2" t="s">
        <v>52</v>
      </c>
      <c r="S13" s="2" t="s">
        <v>135</v>
      </c>
      <c r="T13" s="2" t="s">
        <v>136</v>
      </c>
      <c r="U13" s="2" t="s">
        <v>137</v>
      </c>
      <c r="V13" s="2"/>
    </row>
    <row r="14" ht="42.75">
      <c r="A14" s="2">
        <v>13</v>
      </c>
      <c r="B14" s="2" t="s">
        <v>70</v>
      </c>
      <c r="C14" s="2" t="s">
        <v>138</v>
      </c>
      <c r="D14" s="2" t="s">
        <v>24</v>
      </c>
      <c r="E14" s="2" t="s">
        <v>25</v>
      </c>
      <c r="F14" s="2" t="s">
        <v>58</v>
      </c>
      <c r="G14" s="2" t="s">
        <v>59</v>
      </c>
      <c r="H14" s="2" t="s">
        <v>60</v>
      </c>
      <c r="I14" s="2" t="s">
        <v>46</v>
      </c>
      <c r="J14" s="2" t="s">
        <v>112</v>
      </c>
      <c r="K14" s="2" t="s">
        <v>48</v>
      </c>
      <c r="L14" s="2" t="s">
        <v>139</v>
      </c>
      <c r="M14" s="2" t="s">
        <v>63</v>
      </c>
      <c r="N14" s="2" t="s">
        <v>140</v>
      </c>
      <c r="O14" s="2" t="s">
        <v>33</v>
      </c>
      <c r="P14" s="2" t="s">
        <v>141</v>
      </c>
      <c r="Q14" s="2" t="s">
        <v>25</v>
      </c>
      <c r="R14" s="2" t="s">
        <v>66</v>
      </c>
      <c r="S14" s="2" t="s">
        <v>142</v>
      </c>
      <c r="T14" s="2" t="s">
        <v>143</v>
      </c>
      <c r="U14" s="2" t="s">
        <v>144</v>
      </c>
      <c r="V14" s="2" t="s">
        <v>145</v>
      </c>
    </row>
    <row r="15" ht="57">
      <c r="A15" s="2">
        <v>14</v>
      </c>
      <c r="B15" s="2" t="s">
        <v>110</v>
      </c>
      <c r="C15" s="2" t="s">
        <v>146</v>
      </c>
      <c r="D15" s="2" t="s">
        <v>24</v>
      </c>
      <c r="E15" s="2" t="s">
        <v>25</v>
      </c>
      <c r="F15" s="2" t="s">
        <v>26</v>
      </c>
      <c r="G15" s="2" t="s">
        <v>27</v>
      </c>
      <c r="H15" s="2" t="s">
        <v>28</v>
      </c>
      <c r="I15" s="2" t="s">
        <v>29</v>
      </c>
      <c r="J15" s="2" t="s">
        <v>98</v>
      </c>
      <c r="K15" s="2" t="s">
        <v>31</v>
      </c>
      <c r="L15" s="2" t="s">
        <v>33</v>
      </c>
      <c r="M15" s="2" t="s">
        <v>147</v>
      </c>
      <c r="N15" s="2" t="s">
        <v>34</v>
      </c>
      <c r="O15" s="2" t="s">
        <v>33</v>
      </c>
      <c r="P15" s="2" t="s">
        <v>148</v>
      </c>
      <c r="Q15" s="2" t="s">
        <v>25</v>
      </c>
      <c r="R15" s="2" t="s">
        <v>37</v>
      </c>
      <c r="S15" s="2" t="s">
        <v>149</v>
      </c>
      <c r="T15" s="2" t="s">
        <v>150</v>
      </c>
      <c r="U15" s="2" t="s">
        <v>151</v>
      </c>
      <c r="V15" s="2" t="s">
        <v>152</v>
      </c>
    </row>
    <row r="16" ht="71.25">
      <c r="A16" s="2">
        <v>15</v>
      </c>
      <c r="B16" s="2" t="s">
        <v>82</v>
      </c>
      <c r="C16" s="2" t="s">
        <v>153</v>
      </c>
      <c r="D16" s="2" t="s">
        <v>24</v>
      </c>
      <c r="E16" s="2" t="s">
        <v>25</v>
      </c>
      <c r="F16" s="2" t="s">
        <v>26</v>
      </c>
      <c r="G16" s="2" t="s">
        <v>27</v>
      </c>
      <c r="H16" s="2" t="s">
        <v>28</v>
      </c>
      <c r="I16" s="2" t="s">
        <v>46</v>
      </c>
      <c r="J16" s="2" t="s">
        <v>154</v>
      </c>
      <c r="K16" s="2" t="s">
        <v>104</v>
      </c>
      <c r="L16" s="2" t="s">
        <v>33</v>
      </c>
      <c r="M16" s="2" t="s">
        <v>33</v>
      </c>
      <c r="N16" s="2" t="s">
        <v>86</v>
      </c>
      <c r="O16" s="2" t="s">
        <v>33</v>
      </c>
      <c r="P16" s="2" t="s">
        <v>155</v>
      </c>
      <c r="Q16" s="2" t="s">
        <v>25</v>
      </c>
      <c r="R16" s="2" t="s">
        <v>37</v>
      </c>
      <c r="S16" s="2" t="s">
        <v>156</v>
      </c>
      <c r="T16" s="2" t="s">
        <v>157</v>
      </c>
      <c r="U16" s="2" t="s">
        <v>158</v>
      </c>
      <c r="V16" s="2" t="s">
        <v>81</v>
      </c>
    </row>
    <row r="17" ht="71.25">
      <c r="A17" s="2">
        <v>16</v>
      </c>
      <c r="B17" s="2" t="s">
        <v>82</v>
      </c>
      <c r="C17" s="2" t="s">
        <v>159</v>
      </c>
      <c r="D17" s="2" t="s">
        <v>43</v>
      </c>
      <c r="E17" s="2" t="s">
        <v>44</v>
      </c>
      <c r="F17" s="2" t="s">
        <v>26</v>
      </c>
      <c r="G17" s="2" t="s">
        <v>27</v>
      </c>
      <c r="H17" s="2" t="s">
        <v>45</v>
      </c>
      <c r="I17" s="2" t="s">
        <v>46</v>
      </c>
      <c r="J17" s="2" t="s">
        <v>160</v>
      </c>
      <c r="K17" s="2" t="s">
        <v>161</v>
      </c>
      <c r="L17" s="2" t="s">
        <v>162</v>
      </c>
      <c r="M17" s="2" t="s">
        <v>49</v>
      </c>
      <c r="N17" s="2" t="s">
        <v>163</v>
      </c>
      <c r="O17" s="2" t="s">
        <v>50</v>
      </c>
      <c r="P17" s="2" t="s">
        <v>164</v>
      </c>
      <c r="Q17" s="2" t="s">
        <v>25</v>
      </c>
      <c r="R17" s="2" t="s">
        <v>52</v>
      </c>
      <c r="S17" s="2" t="s">
        <v>165</v>
      </c>
      <c r="T17" s="2" t="s">
        <v>166</v>
      </c>
      <c r="U17" s="2" t="s">
        <v>167</v>
      </c>
      <c r="V17" s="2" t="s">
        <v>81</v>
      </c>
    </row>
    <row r="18" ht="42.75">
      <c r="A18" s="2">
        <v>17</v>
      </c>
      <c r="B18" s="2" t="s">
        <v>117</v>
      </c>
      <c r="C18" s="2" t="s">
        <v>168</v>
      </c>
      <c r="D18" s="2" t="s">
        <v>43</v>
      </c>
      <c r="E18" s="2" t="s">
        <v>44</v>
      </c>
      <c r="F18" s="2" t="s">
        <v>26</v>
      </c>
      <c r="G18" s="2" t="s">
        <v>73</v>
      </c>
      <c r="H18" s="2" t="s">
        <v>45</v>
      </c>
      <c r="I18" s="2" t="s">
        <v>46</v>
      </c>
      <c r="J18" s="2" t="s">
        <v>84</v>
      </c>
      <c r="K18" s="2" t="s">
        <v>48</v>
      </c>
      <c r="L18" s="2" t="s">
        <v>33</v>
      </c>
      <c r="M18" s="2" t="s">
        <v>169</v>
      </c>
      <c r="N18" s="2" t="s">
        <v>170</v>
      </c>
      <c r="O18" s="2" t="s">
        <v>33</v>
      </c>
      <c r="P18" s="2" t="s">
        <v>171</v>
      </c>
      <c r="Q18" s="2" t="s">
        <v>25</v>
      </c>
      <c r="R18" s="2" t="s">
        <v>52</v>
      </c>
      <c r="S18" s="2" t="s">
        <v>172</v>
      </c>
      <c r="T18" s="2" t="s">
        <v>173</v>
      </c>
      <c r="U18" s="2" t="s">
        <v>174</v>
      </c>
      <c r="V18" s="2" t="s">
        <v>81</v>
      </c>
    </row>
    <row r="19" ht="42.75">
      <c r="A19" s="2">
        <v>18</v>
      </c>
      <c r="B19" s="2" t="s">
        <v>41</v>
      </c>
      <c r="C19" s="2" t="s">
        <v>175</v>
      </c>
      <c r="D19" s="2" t="s">
        <v>43</v>
      </c>
      <c r="E19" s="2" t="s">
        <v>44</v>
      </c>
      <c r="F19" s="2" t="s">
        <v>26</v>
      </c>
      <c r="G19" s="2" t="s">
        <v>27</v>
      </c>
      <c r="H19" s="2" t="s">
        <v>45</v>
      </c>
      <c r="I19" s="2" t="s">
        <v>176</v>
      </c>
      <c r="J19" s="2" t="s">
        <v>84</v>
      </c>
      <c r="K19" s="2" t="s">
        <v>62</v>
      </c>
      <c r="L19" s="2" t="s">
        <v>177</v>
      </c>
      <c r="M19" s="2" t="s">
        <v>178</v>
      </c>
      <c r="N19" s="2" t="s">
        <v>179</v>
      </c>
      <c r="O19" s="2" t="s">
        <v>35</v>
      </c>
      <c r="P19" s="2" t="s">
        <v>180</v>
      </c>
      <c r="Q19" s="2" t="s">
        <v>181</v>
      </c>
      <c r="R19" s="2" t="s">
        <v>52</v>
      </c>
      <c r="S19" s="2" t="s">
        <v>182</v>
      </c>
      <c r="T19" s="2" t="s">
        <v>183</v>
      </c>
      <c r="U19" s="2" t="s">
        <v>184</v>
      </c>
      <c r="V19" s="2"/>
    </row>
    <row r="20" ht="85.5">
      <c r="A20" s="2">
        <v>19</v>
      </c>
      <c r="B20" s="2" t="s">
        <v>117</v>
      </c>
      <c r="C20" s="2" t="s">
        <v>185</v>
      </c>
      <c r="D20" s="2" t="s">
        <v>24</v>
      </c>
      <c r="E20" s="2" t="s">
        <v>25</v>
      </c>
      <c r="F20" s="2" t="s">
        <v>58</v>
      </c>
      <c r="G20" s="2" t="s">
        <v>59</v>
      </c>
      <c r="H20" s="2" t="s">
        <v>60</v>
      </c>
      <c r="I20" s="2" t="s">
        <v>29</v>
      </c>
      <c r="J20" s="2" t="s">
        <v>47</v>
      </c>
      <c r="K20" s="2" t="s">
        <v>62</v>
      </c>
      <c r="L20" s="2" t="s">
        <v>33</v>
      </c>
      <c r="M20" s="2" t="s">
        <v>33</v>
      </c>
      <c r="N20" s="2" t="s">
        <v>186</v>
      </c>
      <c r="O20" s="2" t="s">
        <v>33</v>
      </c>
      <c r="P20" s="2" t="s">
        <v>187</v>
      </c>
      <c r="Q20" s="2" t="s">
        <v>25</v>
      </c>
      <c r="R20" s="2" t="s">
        <v>66</v>
      </c>
      <c r="S20" s="2" t="s">
        <v>188</v>
      </c>
      <c r="T20" s="2" t="s">
        <v>189</v>
      </c>
      <c r="U20" s="2" t="s">
        <v>190</v>
      </c>
      <c r="V20" s="2" t="s">
        <v>191</v>
      </c>
    </row>
    <row r="21" ht="57">
      <c r="A21" s="2">
        <v>20</v>
      </c>
      <c r="B21" s="2" t="s">
        <v>192</v>
      </c>
      <c r="C21" s="2" t="s">
        <v>193</v>
      </c>
      <c r="D21" s="2" t="s">
        <v>24</v>
      </c>
      <c r="E21" s="2" t="s">
        <v>25</v>
      </c>
      <c r="F21" s="2" t="s">
        <v>72</v>
      </c>
      <c r="G21" s="2" t="s">
        <v>73</v>
      </c>
      <c r="H21" s="2" t="s">
        <v>74</v>
      </c>
      <c r="I21" s="2" t="s">
        <v>75</v>
      </c>
      <c r="J21" s="2" t="s">
        <v>30</v>
      </c>
      <c r="K21" s="2" t="s">
        <v>99</v>
      </c>
      <c r="L21" s="2" t="s">
        <v>33</v>
      </c>
      <c r="M21" s="2" t="s">
        <v>33</v>
      </c>
      <c r="N21" s="2" t="s">
        <v>33</v>
      </c>
      <c r="O21" s="2" t="s">
        <v>33</v>
      </c>
      <c r="P21" s="2" t="s">
        <v>76</v>
      </c>
      <c r="Q21" s="2" t="s">
        <v>25</v>
      </c>
      <c r="R21" s="2" t="s">
        <v>77</v>
      </c>
      <c r="S21" s="2" t="s">
        <v>194</v>
      </c>
      <c r="T21" s="2" t="s">
        <v>195</v>
      </c>
      <c r="U21" s="2" t="s">
        <v>196</v>
      </c>
      <c r="V21" s="2" t="s">
        <v>197</v>
      </c>
    </row>
    <row r="22" ht="42.75">
      <c r="A22" s="2">
        <v>21</v>
      </c>
      <c r="B22" s="2" t="s">
        <v>117</v>
      </c>
      <c r="C22" s="2" t="s">
        <v>198</v>
      </c>
      <c r="D22" s="2" t="s">
        <v>24</v>
      </c>
      <c r="E22" s="2" t="s">
        <v>25</v>
      </c>
      <c r="F22" s="2" t="s">
        <v>72</v>
      </c>
      <c r="G22" s="2" t="s">
        <v>73</v>
      </c>
      <c r="H22" s="2" t="s">
        <v>74</v>
      </c>
      <c r="I22" s="2" t="s">
        <v>75</v>
      </c>
      <c r="J22" s="2" t="s">
        <v>98</v>
      </c>
      <c r="K22" s="2" t="s">
        <v>104</v>
      </c>
      <c r="L22" s="2" t="s">
        <v>33</v>
      </c>
      <c r="M22" s="2" t="s">
        <v>33</v>
      </c>
      <c r="N22" s="2" t="s">
        <v>33</v>
      </c>
      <c r="O22" s="2" t="s">
        <v>33</v>
      </c>
      <c r="P22" s="2" t="s">
        <v>76</v>
      </c>
      <c r="Q22" s="2" t="s">
        <v>25</v>
      </c>
      <c r="R22" s="2" t="s">
        <v>77</v>
      </c>
      <c r="S22" s="2" t="s">
        <v>199</v>
      </c>
      <c r="T22" s="2" t="s">
        <v>200</v>
      </c>
      <c r="U22" s="2" t="s">
        <v>201</v>
      </c>
      <c r="V22" s="2"/>
    </row>
    <row r="23" ht="85.5">
      <c r="A23" s="2">
        <v>22</v>
      </c>
      <c r="B23" s="2" t="s">
        <v>41</v>
      </c>
      <c r="C23" s="2" t="s">
        <v>202</v>
      </c>
      <c r="D23" s="2" t="s">
        <v>43</v>
      </c>
      <c r="E23" s="2" t="s">
        <v>44</v>
      </c>
      <c r="F23" s="2" t="s">
        <v>26</v>
      </c>
      <c r="G23" s="2" t="s">
        <v>27</v>
      </c>
      <c r="H23" s="2" t="s">
        <v>45</v>
      </c>
      <c r="I23" s="2" t="s">
        <v>46</v>
      </c>
      <c r="J23" s="2" t="s">
        <v>47</v>
      </c>
      <c r="K23" s="2" t="s">
        <v>48</v>
      </c>
      <c r="L23" s="2" t="s">
        <v>203</v>
      </c>
      <c r="M23" s="2" t="s">
        <v>63</v>
      </c>
      <c r="N23" s="2" t="s">
        <v>204</v>
      </c>
      <c r="O23" s="2" t="s">
        <v>205</v>
      </c>
      <c r="P23" s="2" t="s">
        <v>206</v>
      </c>
      <c r="Q23" s="2" t="s">
        <v>25</v>
      </c>
      <c r="R23" s="2" t="s">
        <v>52</v>
      </c>
      <c r="S23" s="2" t="s">
        <v>207</v>
      </c>
      <c r="T23" s="2" t="s">
        <v>208</v>
      </c>
      <c r="U23" s="2" t="s">
        <v>209</v>
      </c>
      <c r="V23" s="2"/>
    </row>
    <row r="24" ht="42.75">
      <c r="A24" s="2">
        <v>23</v>
      </c>
      <c r="B24" s="2" t="s">
        <v>117</v>
      </c>
      <c r="C24" s="2" t="s">
        <v>210</v>
      </c>
      <c r="D24" s="2" t="s">
        <v>24</v>
      </c>
      <c r="E24" s="2" t="s">
        <v>25</v>
      </c>
      <c r="F24" s="2" t="s">
        <v>72</v>
      </c>
      <c r="G24" s="2" t="s">
        <v>73</v>
      </c>
      <c r="H24" s="2" t="s">
        <v>74</v>
      </c>
      <c r="I24" s="2" t="s">
        <v>75</v>
      </c>
      <c r="J24" s="2" t="s">
        <v>30</v>
      </c>
      <c r="K24" s="2" t="s">
        <v>99</v>
      </c>
      <c r="L24" s="2" t="s">
        <v>33</v>
      </c>
      <c r="M24" s="2" t="s">
        <v>33</v>
      </c>
      <c r="N24" s="2" t="s">
        <v>33</v>
      </c>
      <c r="O24" s="2" t="s">
        <v>33</v>
      </c>
      <c r="P24" s="2" t="s">
        <v>76</v>
      </c>
      <c r="Q24" s="2" t="s">
        <v>25</v>
      </c>
      <c r="R24" s="2" t="s">
        <v>77</v>
      </c>
      <c r="S24" s="2" t="s">
        <v>211</v>
      </c>
      <c r="T24" s="2" t="s">
        <v>212</v>
      </c>
      <c r="U24" s="2" t="s">
        <v>213</v>
      </c>
      <c r="V24" s="2"/>
    </row>
    <row r="25" ht="42.75">
      <c r="A25" s="2">
        <v>24</v>
      </c>
      <c r="B25" s="2" t="s">
        <v>41</v>
      </c>
      <c r="C25" s="2" t="s">
        <v>214</v>
      </c>
      <c r="D25" s="2" t="s">
        <v>24</v>
      </c>
      <c r="E25" s="2" t="s">
        <v>25</v>
      </c>
      <c r="F25" s="2" t="s">
        <v>26</v>
      </c>
      <c r="G25" s="2" t="s">
        <v>27</v>
      </c>
      <c r="H25" s="2" t="s">
        <v>28</v>
      </c>
      <c r="I25" s="2" t="s">
        <v>46</v>
      </c>
      <c r="J25" s="2" t="s">
        <v>30</v>
      </c>
      <c r="K25" s="2" t="s">
        <v>48</v>
      </c>
      <c r="L25" s="2" t="s">
        <v>215</v>
      </c>
      <c r="M25" s="2" t="s">
        <v>216</v>
      </c>
      <c r="N25" s="2" t="s">
        <v>217</v>
      </c>
      <c r="O25" s="2" t="s">
        <v>218</v>
      </c>
      <c r="P25" s="2" t="s">
        <v>76</v>
      </c>
      <c r="Q25" s="2" t="s">
        <v>25</v>
      </c>
      <c r="R25" s="2" t="s">
        <v>37</v>
      </c>
      <c r="S25" s="2" t="s">
        <v>194</v>
      </c>
      <c r="T25" s="2" t="s">
        <v>219</v>
      </c>
      <c r="U25" s="2" t="s">
        <v>220</v>
      </c>
      <c r="V25" s="2" t="s">
        <v>81</v>
      </c>
    </row>
    <row r="26" ht="85.5">
      <c r="A26" s="2">
        <v>25</v>
      </c>
      <c r="B26" s="2" t="s">
        <v>221</v>
      </c>
      <c r="C26" s="2" t="s">
        <v>222</v>
      </c>
      <c r="D26" s="2" t="s">
        <v>24</v>
      </c>
      <c r="E26" s="2" t="s">
        <v>25</v>
      </c>
      <c r="F26" s="2" t="s">
        <v>26</v>
      </c>
      <c r="G26" s="2" t="s">
        <v>27</v>
      </c>
      <c r="H26" s="2" t="s">
        <v>28</v>
      </c>
      <c r="I26" s="2" t="s">
        <v>29</v>
      </c>
      <c r="J26" s="2" t="s">
        <v>30</v>
      </c>
      <c r="K26" s="2" t="s">
        <v>62</v>
      </c>
      <c r="L26" s="2" t="s">
        <v>223</v>
      </c>
      <c r="M26" s="2" t="s">
        <v>33</v>
      </c>
      <c r="N26" s="2" t="s">
        <v>224</v>
      </c>
      <c r="O26" s="2" t="s">
        <v>33</v>
      </c>
      <c r="P26" s="2" t="s">
        <v>225</v>
      </c>
      <c r="Q26" s="2" t="s">
        <v>25</v>
      </c>
      <c r="R26" s="2" t="s">
        <v>37</v>
      </c>
      <c r="S26" s="2" t="s">
        <v>128</v>
      </c>
      <c r="T26" s="2" t="s">
        <v>226</v>
      </c>
      <c r="U26" s="2" t="s">
        <v>227</v>
      </c>
      <c r="V26" s="2"/>
    </row>
    <row r="27" ht="42.75">
      <c r="A27" s="2">
        <v>26</v>
      </c>
      <c r="B27" s="2" t="s">
        <v>82</v>
      </c>
      <c r="C27" s="2" t="s">
        <v>228</v>
      </c>
      <c r="D27" s="2" t="s">
        <v>24</v>
      </c>
      <c r="E27" s="2" t="s">
        <v>25</v>
      </c>
      <c r="F27" s="2" t="s">
        <v>26</v>
      </c>
      <c r="G27" s="2" t="s">
        <v>27</v>
      </c>
      <c r="H27" s="2" t="s">
        <v>28</v>
      </c>
      <c r="I27" s="2" t="s">
        <v>29</v>
      </c>
      <c r="J27" s="2" t="s">
        <v>30</v>
      </c>
      <c r="K27" s="2" t="s">
        <v>104</v>
      </c>
      <c r="L27" s="2" t="s">
        <v>229</v>
      </c>
      <c r="M27" s="2" t="s">
        <v>33</v>
      </c>
      <c r="N27" s="2" t="s">
        <v>86</v>
      </c>
      <c r="O27" s="2" t="s">
        <v>33</v>
      </c>
      <c r="P27" s="2" t="s">
        <v>230</v>
      </c>
      <c r="Q27" s="2" t="s">
        <v>25</v>
      </c>
      <c r="R27" s="2" t="s">
        <v>37</v>
      </c>
      <c r="S27" s="2" t="s">
        <v>231</v>
      </c>
      <c r="T27" s="2" t="s">
        <v>232</v>
      </c>
      <c r="U27" s="2" t="s">
        <v>233</v>
      </c>
      <c r="V27" s="2"/>
    </row>
    <row r="28" ht="85.5">
      <c r="A28" s="2">
        <v>27</v>
      </c>
      <c r="B28" s="2" t="s">
        <v>41</v>
      </c>
      <c r="C28" s="2" t="s">
        <v>234</v>
      </c>
      <c r="D28" s="2" t="s">
        <v>24</v>
      </c>
      <c r="E28" s="2" t="s">
        <v>25</v>
      </c>
      <c r="F28" s="2" t="s">
        <v>58</v>
      </c>
      <c r="G28" s="2" t="s">
        <v>59</v>
      </c>
      <c r="H28" s="2" t="s">
        <v>60</v>
      </c>
      <c r="I28" s="2" t="s">
        <v>46</v>
      </c>
      <c r="J28" s="2" t="s">
        <v>84</v>
      </c>
      <c r="K28" s="2" t="s">
        <v>62</v>
      </c>
      <c r="L28" s="2" t="s">
        <v>33</v>
      </c>
      <c r="M28" s="2" t="s">
        <v>33</v>
      </c>
      <c r="N28" s="2" t="s">
        <v>235</v>
      </c>
      <c r="O28" s="2" t="s">
        <v>218</v>
      </c>
      <c r="P28" s="2" t="s">
        <v>236</v>
      </c>
      <c r="Q28" s="2" t="s">
        <v>25</v>
      </c>
      <c r="R28" s="2" t="s">
        <v>66</v>
      </c>
      <c r="S28" s="2" t="s">
        <v>194</v>
      </c>
      <c r="T28" s="2" t="s">
        <v>237</v>
      </c>
      <c r="U28" s="2" t="s">
        <v>238</v>
      </c>
      <c r="V28" s="2" t="s">
        <v>145</v>
      </c>
    </row>
    <row r="29" ht="57">
      <c r="A29" s="2">
        <v>28</v>
      </c>
      <c r="B29" s="2" t="s">
        <v>239</v>
      </c>
      <c r="C29" s="2" t="s">
        <v>240</v>
      </c>
      <c r="D29" s="2" t="s">
        <v>24</v>
      </c>
      <c r="E29" s="2" t="s">
        <v>25</v>
      </c>
      <c r="F29" s="2" t="s">
        <v>26</v>
      </c>
      <c r="G29" s="2" t="s">
        <v>27</v>
      </c>
      <c r="H29" s="2" t="s">
        <v>28</v>
      </c>
      <c r="I29" s="2" t="s">
        <v>29</v>
      </c>
      <c r="J29" s="2" t="s">
        <v>30</v>
      </c>
      <c r="K29" s="2" t="s">
        <v>104</v>
      </c>
      <c r="L29" s="2" t="s">
        <v>241</v>
      </c>
      <c r="M29" s="2" t="s">
        <v>242</v>
      </c>
      <c r="N29" s="2" t="s">
        <v>243</v>
      </c>
      <c r="O29" s="2" t="s">
        <v>33</v>
      </c>
      <c r="P29" s="2" t="s">
        <v>244</v>
      </c>
      <c r="Q29" s="2" t="s">
        <v>25</v>
      </c>
      <c r="R29" s="2" t="s">
        <v>37</v>
      </c>
      <c r="S29" s="2" t="s">
        <v>245</v>
      </c>
      <c r="T29" s="2" t="s">
        <v>246</v>
      </c>
      <c r="U29" s="2" t="s">
        <v>247</v>
      </c>
      <c r="V29" s="2"/>
    </row>
    <row r="30" ht="28.5">
      <c r="A30" s="2">
        <v>29</v>
      </c>
      <c r="B30" s="2" t="s">
        <v>110</v>
      </c>
      <c r="C30" s="2" t="s">
        <v>248</v>
      </c>
      <c r="D30" s="2" t="s">
        <v>24</v>
      </c>
      <c r="E30" s="2" t="s">
        <v>25</v>
      </c>
      <c r="F30" s="2" t="s">
        <v>58</v>
      </c>
      <c r="G30" s="2" t="s">
        <v>59</v>
      </c>
      <c r="H30" s="2" t="s">
        <v>60</v>
      </c>
      <c r="I30" s="2" t="s">
        <v>29</v>
      </c>
      <c r="J30" s="2" t="s">
        <v>84</v>
      </c>
      <c r="K30" s="2" t="s">
        <v>48</v>
      </c>
      <c r="L30" s="2" t="s">
        <v>33</v>
      </c>
      <c r="M30" s="2" t="s">
        <v>63</v>
      </c>
      <c r="N30" s="2" t="s">
        <v>86</v>
      </c>
      <c r="O30" s="2" t="s">
        <v>33</v>
      </c>
      <c r="P30" s="2" t="s">
        <v>76</v>
      </c>
      <c r="Q30" s="2" t="s">
        <v>25</v>
      </c>
      <c r="R30" s="2" t="s">
        <v>66</v>
      </c>
      <c r="S30" s="2" t="s">
        <v>249</v>
      </c>
      <c r="T30" s="2" t="s">
        <v>250</v>
      </c>
      <c r="U30" s="2" t="s">
        <v>251</v>
      </c>
      <c r="V30" s="2"/>
    </row>
    <row r="31" ht="57">
      <c r="A31" s="2">
        <v>30</v>
      </c>
      <c r="B31" s="2" t="s">
        <v>41</v>
      </c>
      <c r="C31" s="2" t="s">
        <v>252</v>
      </c>
      <c r="D31" s="2" t="s">
        <v>24</v>
      </c>
      <c r="E31" s="2" t="s">
        <v>25</v>
      </c>
      <c r="F31" s="2" t="s">
        <v>72</v>
      </c>
      <c r="G31" s="2" t="s">
        <v>73</v>
      </c>
      <c r="H31" s="2" t="s">
        <v>74</v>
      </c>
      <c r="I31" s="2" t="s">
        <v>75</v>
      </c>
      <c r="J31" s="2" t="s">
        <v>30</v>
      </c>
      <c r="K31" s="2" t="s">
        <v>99</v>
      </c>
      <c r="L31" s="2" t="s">
        <v>33</v>
      </c>
      <c r="M31" s="2" t="s">
        <v>33</v>
      </c>
      <c r="N31" s="2" t="s">
        <v>33</v>
      </c>
      <c r="O31" s="2" t="s">
        <v>33</v>
      </c>
      <c r="P31" s="2" t="s">
        <v>76</v>
      </c>
      <c r="Q31" s="2" t="s">
        <v>25</v>
      </c>
      <c r="R31" s="2" t="s">
        <v>77</v>
      </c>
      <c r="S31" s="2" t="s">
        <v>253</v>
      </c>
      <c r="T31" s="2" t="s">
        <v>254</v>
      </c>
      <c r="U31" s="2" t="s">
        <v>255</v>
      </c>
      <c r="V31" s="2" t="s">
        <v>197</v>
      </c>
    </row>
    <row r="32" ht="71.25">
      <c r="A32" s="2">
        <v>31</v>
      </c>
      <c r="B32" s="2" t="s">
        <v>117</v>
      </c>
      <c r="C32" s="2" t="s">
        <v>256</v>
      </c>
      <c r="D32" s="2" t="s">
        <v>43</v>
      </c>
      <c r="E32" s="2" t="s">
        <v>44</v>
      </c>
      <c r="F32" s="2" t="s">
        <v>26</v>
      </c>
      <c r="G32" s="2" t="s">
        <v>27</v>
      </c>
      <c r="H32" s="2" t="s">
        <v>45</v>
      </c>
      <c r="I32" s="2" t="s">
        <v>46</v>
      </c>
      <c r="J32" s="2" t="s">
        <v>84</v>
      </c>
      <c r="K32" s="2" t="s">
        <v>62</v>
      </c>
      <c r="L32" s="2" t="s">
        <v>257</v>
      </c>
      <c r="M32" s="2" t="s">
        <v>258</v>
      </c>
      <c r="N32" s="2" t="s">
        <v>259</v>
      </c>
      <c r="O32" s="2" t="s">
        <v>33</v>
      </c>
      <c r="P32" s="2" t="s">
        <v>260</v>
      </c>
      <c r="Q32" s="2" t="s">
        <v>25</v>
      </c>
      <c r="R32" s="2" t="s">
        <v>52</v>
      </c>
      <c r="S32" s="2" t="s">
        <v>261</v>
      </c>
      <c r="T32" s="2" t="s">
        <v>262</v>
      </c>
      <c r="U32" s="2" t="s">
        <v>263</v>
      </c>
      <c r="V32" s="2"/>
    </row>
    <row r="33" ht="28.5">
      <c r="A33" s="2">
        <v>32</v>
      </c>
      <c r="B33" s="2" t="s">
        <v>117</v>
      </c>
      <c r="C33" s="2" t="s">
        <v>264</v>
      </c>
      <c r="D33" s="2" t="s">
        <v>24</v>
      </c>
      <c r="E33" s="2" t="s">
        <v>25</v>
      </c>
      <c r="F33" s="2" t="s">
        <v>58</v>
      </c>
      <c r="G33" s="2" t="s">
        <v>59</v>
      </c>
      <c r="H33" s="2" t="s">
        <v>60</v>
      </c>
      <c r="I33" s="2" t="s">
        <v>29</v>
      </c>
      <c r="J33" s="2" t="s">
        <v>61</v>
      </c>
      <c r="K33" s="2" t="s">
        <v>48</v>
      </c>
      <c r="L33" s="2" t="s">
        <v>33</v>
      </c>
      <c r="M33" s="2" t="s">
        <v>63</v>
      </c>
      <c r="N33" s="2" t="s">
        <v>265</v>
      </c>
      <c r="O33" s="2" t="s">
        <v>35</v>
      </c>
      <c r="P33" s="2" t="s">
        <v>266</v>
      </c>
      <c r="Q33" s="2" t="s">
        <v>25</v>
      </c>
      <c r="R33" s="2" t="s">
        <v>66</v>
      </c>
      <c r="S33" s="2" t="s">
        <v>267</v>
      </c>
      <c r="T33" s="2" t="s">
        <v>268</v>
      </c>
      <c r="U33" s="2" t="s">
        <v>269</v>
      </c>
      <c r="V33" s="2"/>
    </row>
    <row r="34" ht="57">
      <c r="A34" s="2">
        <v>33</v>
      </c>
      <c r="B34" s="2" t="s">
        <v>41</v>
      </c>
      <c r="C34" s="2" t="s">
        <v>270</v>
      </c>
      <c r="D34" s="2" t="s">
        <v>24</v>
      </c>
      <c r="E34" s="2" t="s">
        <v>25</v>
      </c>
      <c r="F34" s="2" t="s">
        <v>58</v>
      </c>
      <c r="G34" s="2" t="s">
        <v>59</v>
      </c>
      <c r="H34" s="2" t="s">
        <v>60</v>
      </c>
      <c r="I34" s="2" t="s">
        <v>46</v>
      </c>
      <c r="J34" s="2" t="s">
        <v>271</v>
      </c>
      <c r="K34" s="2" t="s">
        <v>48</v>
      </c>
      <c r="L34" s="2" t="s">
        <v>272</v>
      </c>
      <c r="M34" s="2" t="s">
        <v>33</v>
      </c>
      <c r="N34" s="2" t="s">
        <v>273</v>
      </c>
      <c r="O34" s="2" t="s">
        <v>274</v>
      </c>
      <c r="P34" s="2" t="s">
        <v>76</v>
      </c>
      <c r="Q34" s="2" t="s">
        <v>25</v>
      </c>
      <c r="R34" s="2" t="s">
        <v>66</v>
      </c>
      <c r="S34" s="2" t="s">
        <v>275</v>
      </c>
      <c r="T34" s="2" t="s">
        <v>276</v>
      </c>
      <c r="U34" s="2" t="s">
        <v>277</v>
      </c>
      <c r="V34" s="2"/>
    </row>
    <row r="35" ht="42.75">
      <c r="A35" s="2">
        <v>34</v>
      </c>
      <c r="B35" s="2" t="s">
        <v>110</v>
      </c>
      <c r="C35" s="2" t="s">
        <v>278</v>
      </c>
      <c r="D35" s="2" t="s">
        <v>24</v>
      </c>
      <c r="E35" s="2" t="s">
        <v>25</v>
      </c>
      <c r="F35" s="2" t="s">
        <v>58</v>
      </c>
      <c r="G35" s="2" t="s">
        <v>59</v>
      </c>
      <c r="H35" s="2" t="s">
        <v>60</v>
      </c>
      <c r="I35" s="2" t="s">
        <v>46</v>
      </c>
      <c r="J35" s="2" t="s">
        <v>160</v>
      </c>
      <c r="K35" s="2" t="s">
        <v>48</v>
      </c>
      <c r="L35" s="2" t="s">
        <v>139</v>
      </c>
      <c r="M35" s="2" t="s">
        <v>33</v>
      </c>
      <c r="N35" s="2" t="s">
        <v>279</v>
      </c>
      <c r="O35" s="2" t="s">
        <v>33</v>
      </c>
      <c r="P35" s="2" t="s">
        <v>280</v>
      </c>
      <c r="Q35" s="2" t="s">
        <v>25</v>
      </c>
      <c r="R35" s="2" t="s">
        <v>66</v>
      </c>
      <c r="S35" s="2" t="s">
        <v>281</v>
      </c>
      <c r="T35" s="2" t="s">
        <v>282</v>
      </c>
      <c r="U35" s="2" t="s">
        <v>283</v>
      </c>
      <c r="V35" s="2" t="s">
        <v>191</v>
      </c>
    </row>
    <row r="36" ht="57">
      <c r="A36" s="2">
        <v>35</v>
      </c>
      <c r="B36" s="2" t="s">
        <v>117</v>
      </c>
      <c r="C36" s="2" t="s">
        <v>284</v>
      </c>
      <c r="D36" s="2" t="s">
        <v>43</v>
      </c>
      <c r="E36" s="2" t="s">
        <v>44</v>
      </c>
      <c r="F36" s="2" t="s">
        <v>26</v>
      </c>
      <c r="G36" s="2" t="s">
        <v>27</v>
      </c>
      <c r="H36" s="2" t="s">
        <v>28</v>
      </c>
      <c r="I36" s="2" t="s">
        <v>46</v>
      </c>
      <c r="J36" s="2" t="s">
        <v>30</v>
      </c>
      <c r="K36" s="2" t="s">
        <v>48</v>
      </c>
      <c r="L36" s="2" t="s">
        <v>215</v>
      </c>
      <c r="M36" s="2" t="s">
        <v>285</v>
      </c>
      <c r="N36" s="2" t="s">
        <v>217</v>
      </c>
      <c r="O36" s="2" t="s">
        <v>218</v>
      </c>
      <c r="P36" s="2" t="s">
        <v>286</v>
      </c>
      <c r="Q36" s="2" t="s">
        <v>25</v>
      </c>
      <c r="R36" s="2" t="s">
        <v>37</v>
      </c>
      <c r="S36" s="2" t="s">
        <v>287</v>
      </c>
      <c r="T36" s="2" t="s">
        <v>288</v>
      </c>
      <c r="U36" s="2" t="s">
        <v>289</v>
      </c>
      <c r="V36" s="2"/>
    </row>
    <row r="37" ht="28.5">
      <c r="A37" s="2">
        <v>36</v>
      </c>
      <c r="B37" s="2" t="s">
        <v>239</v>
      </c>
      <c r="C37" s="2" t="s">
        <v>290</v>
      </c>
      <c r="D37" s="2" t="s">
        <v>24</v>
      </c>
      <c r="E37" s="2" t="s">
        <v>25</v>
      </c>
      <c r="F37" s="2" t="s">
        <v>58</v>
      </c>
      <c r="G37" s="2" t="s">
        <v>59</v>
      </c>
      <c r="H37" s="2" t="s">
        <v>60</v>
      </c>
      <c r="I37" s="2" t="s">
        <v>29</v>
      </c>
      <c r="J37" s="2" t="s">
        <v>84</v>
      </c>
      <c r="K37" s="2" t="s">
        <v>48</v>
      </c>
      <c r="L37" s="2" t="s">
        <v>33</v>
      </c>
      <c r="M37" s="2" t="s">
        <v>33</v>
      </c>
      <c r="N37" s="2" t="s">
        <v>34</v>
      </c>
      <c r="O37" s="2" t="s">
        <v>33</v>
      </c>
      <c r="P37" s="2" t="s">
        <v>291</v>
      </c>
      <c r="Q37" s="2" t="s">
        <v>25</v>
      </c>
      <c r="R37" s="2" t="s">
        <v>66</v>
      </c>
      <c r="S37" s="2" t="s">
        <v>107</v>
      </c>
      <c r="T37" s="2" t="s">
        <v>292</v>
      </c>
      <c r="U37" s="2" t="s">
        <v>293</v>
      </c>
      <c r="V37" s="2"/>
    </row>
    <row r="38" ht="57">
      <c r="A38" s="2">
        <v>37</v>
      </c>
      <c r="B38" s="2" t="s">
        <v>117</v>
      </c>
      <c r="C38" s="2" t="s">
        <v>294</v>
      </c>
      <c r="D38" s="2" t="s">
        <v>24</v>
      </c>
      <c r="E38" s="2" t="s">
        <v>25</v>
      </c>
      <c r="F38" s="2" t="s">
        <v>72</v>
      </c>
      <c r="G38" s="2" t="s">
        <v>73</v>
      </c>
      <c r="H38" s="2" t="s">
        <v>74</v>
      </c>
      <c r="I38" s="2" t="s">
        <v>75</v>
      </c>
      <c r="J38" s="2" t="s">
        <v>30</v>
      </c>
      <c r="K38" s="2" t="s">
        <v>99</v>
      </c>
      <c r="L38" s="2" t="s">
        <v>33</v>
      </c>
      <c r="M38" s="2" t="s">
        <v>33</v>
      </c>
      <c r="N38" s="2" t="s">
        <v>33</v>
      </c>
      <c r="O38" s="2" t="s">
        <v>33</v>
      </c>
      <c r="P38" s="2" t="s">
        <v>76</v>
      </c>
      <c r="Q38" s="2" t="s">
        <v>25</v>
      </c>
      <c r="R38" s="2" t="s">
        <v>77</v>
      </c>
      <c r="S38" s="2" t="s">
        <v>295</v>
      </c>
      <c r="T38" s="2" t="s">
        <v>296</v>
      </c>
      <c r="U38" s="2" t="s">
        <v>297</v>
      </c>
      <c r="V38" s="2"/>
    </row>
    <row r="39" ht="42.75">
      <c r="A39" s="2">
        <v>38</v>
      </c>
      <c r="B39" s="2" t="s">
        <v>41</v>
      </c>
      <c r="C39" s="2" t="s">
        <v>298</v>
      </c>
      <c r="D39" s="2" t="s">
        <v>24</v>
      </c>
      <c r="E39" s="2" t="s">
        <v>25</v>
      </c>
      <c r="F39" s="2" t="s">
        <v>72</v>
      </c>
      <c r="G39" s="2" t="s">
        <v>73</v>
      </c>
      <c r="H39" s="2" t="s">
        <v>74</v>
      </c>
      <c r="I39" s="2" t="s">
        <v>75</v>
      </c>
      <c r="J39" s="2" t="s">
        <v>98</v>
      </c>
      <c r="K39" s="2" t="s">
        <v>99</v>
      </c>
      <c r="L39" s="2" t="s">
        <v>33</v>
      </c>
      <c r="M39" s="2" t="s">
        <v>33</v>
      </c>
      <c r="N39" s="2" t="s">
        <v>33</v>
      </c>
      <c r="O39" s="2" t="s">
        <v>33</v>
      </c>
      <c r="P39" s="2" t="s">
        <v>76</v>
      </c>
      <c r="Q39" s="2" t="s">
        <v>25</v>
      </c>
      <c r="R39" s="2" t="s">
        <v>77</v>
      </c>
      <c r="S39" s="2" t="s">
        <v>100</v>
      </c>
      <c r="T39" s="2" t="s">
        <v>299</v>
      </c>
      <c r="U39" s="2" t="s">
        <v>300</v>
      </c>
      <c r="V39" s="2"/>
    </row>
    <row r="40" ht="57">
      <c r="A40" s="2">
        <v>39</v>
      </c>
      <c r="B40" s="2" t="s">
        <v>82</v>
      </c>
      <c r="C40" s="2" t="s">
        <v>301</v>
      </c>
      <c r="D40" s="2" t="s">
        <v>24</v>
      </c>
      <c r="E40" s="2" t="s">
        <v>25</v>
      </c>
      <c r="F40" s="2" t="s">
        <v>72</v>
      </c>
      <c r="G40" s="2" t="s">
        <v>73</v>
      </c>
      <c r="H40" s="2" t="s">
        <v>302</v>
      </c>
      <c r="I40" s="2" t="s">
        <v>176</v>
      </c>
      <c r="J40" s="2" t="s">
        <v>84</v>
      </c>
      <c r="K40" s="2" t="s">
        <v>62</v>
      </c>
      <c r="L40" s="2" t="s">
        <v>33</v>
      </c>
      <c r="M40" s="2" t="s">
        <v>63</v>
      </c>
      <c r="N40" s="2" t="s">
        <v>303</v>
      </c>
      <c r="O40" s="2" t="s">
        <v>218</v>
      </c>
      <c r="P40" s="2" t="s">
        <v>304</v>
      </c>
      <c r="Q40" s="2" t="s">
        <v>181</v>
      </c>
      <c r="R40" s="2" t="s">
        <v>305</v>
      </c>
      <c r="S40" s="2" t="s">
        <v>94</v>
      </c>
      <c r="T40" s="2" t="s">
        <v>306</v>
      </c>
      <c r="U40" s="2" t="s">
        <v>307</v>
      </c>
      <c r="V40" s="2" t="s">
        <v>81</v>
      </c>
    </row>
    <row r="41" ht="42.75">
      <c r="A41" s="2">
        <v>40</v>
      </c>
      <c r="B41" s="2" t="s">
        <v>56</v>
      </c>
      <c r="C41" s="2" t="s">
        <v>308</v>
      </c>
      <c r="D41" s="2" t="s">
        <v>43</v>
      </c>
      <c r="E41" s="2" t="s">
        <v>44</v>
      </c>
      <c r="F41" s="2" t="s">
        <v>26</v>
      </c>
      <c r="G41" s="2" t="s">
        <v>27</v>
      </c>
      <c r="H41" s="2" t="s">
        <v>45</v>
      </c>
      <c r="I41" s="2" t="s">
        <v>46</v>
      </c>
      <c r="J41" s="2" t="s">
        <v>112</v>
      </c>
      <c r="K41" s="2" t="s">
        <v>161</v>
      </c>
      <c r="L41" s="2" t="s">
        <v>33</v>
      </c>
      <c r="M41" s="2" t="s">
        <v>309</v>
      </c>
      <c r="N41" s="2" t="s">
        <v>34</v>
      </c>
      <c r="O41" s="2" t="s">
        <v>33</v>
      </c>
      <c r="P41" s="2" t="s">
        <v>76</v>
      </c>
      <c r="Q41" s="2" t="s">
        <v>25</v>
      </c>
      <c r="R41" s="2" t="s">
        <v>52</v>
      </c>
      <c r="S41" s="2" t="s">
        <v>310</v>
      </c>
      <c r="T41" s="2" t="s">
        <v>311</v>
      </c>
      <c r="U41" s="2" t="s">
        <v>312</v>
      </c>
      <c r="V41" s="2"/>
    </row>
    <row r="42" ht="85.5">
      <c r="A42" s="2">
        <v>41</v>
      </c>
      <c r="B42" s="2" t="s">
        <v>221</v>
      </c>
      <c r="C42" s="2" t="s">
        <v>313</v>
      </c>
      <c r="D42" s="2" t="s">
        <v>24</v>
      </c>
      <c r="E42" s="2" t="s">
        <v>25</v>
      </c>
      <c r="F42" s="2" t="s">
        <v>72</v>
      </c>
      <c r="G42" s="2" t="s">
        <v>73</v>
      </c>
      <c r="H42" s="2" t="s">
        <v>74</v>
      </c>
      <c r="I42" s="2" t="s">
        <v>75</v>
      </c>
      <c r="J42" s="2" t="s">
        <v>98</v>
      </c>
      <c r="K42" s="2" t="s">
        <v>31</v>
      </c>
      <c r="L42" s="2" t="s">
        <v>33</v>
      </c>
      <c r="M42" s="2" t="s">
        <v>33</v>
      </c>
      <c r="N42" s="2" t="s">
        <v>33</v>
      </c>
      <c r="O42" s="2" t="s">
        <v>33</v>
      </c>
      <c r="P42" s="2" t="s">
        <v>314</v>
      </c>
      <c r="Q42" s="2" t="s">
        <v>25</v>
      </c>
      <c r="R42" s="2" t="s">
        <v>77</v>
      </c>
      <c r="S42" s="2" t="s">
        <v>149</v>
      </c>
      <c r="T42" s="2" t="s">
        <v>315</v>
      </c>
      <c r="U42" s="2" t="s">
        <v>316</v>
      </c>
      <c r="V42" s="2" t="s">
        <v>317</v>
      </c>
    </row>
    <row r="43" ht="57">
      <c r="A43" s="2">
        <v>42</v>
      </c>
      <c r="B43" s="2" t="s">
        <v>82</v>
      </c>
      <c r="C43" s="2" t="s">
        <v>318</v>
      </c>
      <c r="D43" s="2" t="s">
        <v>24</v>
      </c>
      <c r="E43" s="2" t="s">
        <v>25</v>
      </c>
      <c r="F43" s="2" t="s">
        <v>72</v>
      </c>
      <c r="G43" s="2" t="s">
        <v>73</v>
      </c>
      <c r="H43" s="2" t="s">
        <v>74</v>
      </c>
      <c r="I43" s="2" t="s">
        <v>75</v>
      </c>
      <c r="J43" s="2" t="s">
        <v>30</v>
      </c>
      <c r="K43" s="2" t="s">
        <v>99</v>
      </c>
      <c r="L43" s="2" t="s">
        <v>33</v>
      </c>
      <c r="M43" s="2" t="s">
        <v>319</v>
      </c>
      <c r="N43" s="2" t="s">
        <v>33</v>
      </c>
      <c r="O43" s="2" t="s">
        <v>33</v>
      </c>
      <c r="P43" s="2" t="s">
        <v>76</v>
      </c>
      <c r="Q43" s="2" t="s">
        <v>25</v>
      </c>
      <c r="R43" s="2" t="s">
        <v>77</v>
      </c>
      <c r="S43" s="2" t="s">
        <v>128</v>
      </c>
      <c r="T43" s="2" t="s">
        <v>320</v>
      </c>
      <c r="U43" s="2" t="s">
        <v>321</v>
      </c>
      <c r="V43" s="2" t="s">
        <v>152</v>
      </c>
    </row>
    <row r="44" ht="99.75">
      <c r="A44" s="2">
        <v>43</v>
      </c>
      <c r="B44" s="2" t="s">
        <v>239</v>
      </c>
      <c r="C44" s="2" t="s">
        <v>322</v>
      </c>
      <c r="D44" s="2" t="s">
        <v>24</v>
      </c>
      <c r="E44" s="2" t="s">
        <v>25</v>
      </c>
      <c r="F44" s="2" t="s">
        <v>58</v>
      </c>
      <c r="G44" s="2" t="s">
        <v>59</v>
      </c>
      <c r="H44" s="2" t="s">
        <v>60</v>
      </c>
      <c r="I44" s="2" t="s">
        <v>29</v>
      </c>
      <c r="J44" s="2" t="s">
        <v>84</v>
      </c>
      <c r="K44" s="2" t="s">
        <v>62</v>
      </c>
      <c r="L44" s="2" t="s">
        <v>33</v>
      </c>
      <c r="M44" s="2" t="s">
        <v>178</v>
      </c>
      <c r="N44" s="2" t="s">
        <v>34</v>
      </c>
      <c r="O44" s="2" t="s">
        <v>93</v>
      </c>
      <c r="P44" s="2" t="s">
        <v>323</v>
      </c>
      <c r="Q44" s="2" t="s">
        <v>25</v>
      </c>
      <c r="R44" s="2" t="s">
        <v>66</v>
      </c>
      <c r="S44" s="2" t="s">
        <v>324</v>
      </c>
      <c r="T44" s="2" t="s">
        <v>325</v>
      </c>
      <c r="U44" s="2" t="s">
        <v>326</v>
      </c>
      <c r="V44" s="2"/>
    </row>
    <row r="45" ht="42.75">
      <c r="A45" s="2">
        <v>44</v>
      </c>
      <c r="B45" s="2" t="s">
        <v>221</v>
      </c>
      <c r="C45" s="2" t="s">
        <v>327</v>
      </c>
      <c r="D45" s="2" t="s">
        <v>24</v>
      </c>
      <c r="E45" s="2" t="s">
        <v>25</v>
      </c>
      <c r="F45" s="2" t="s">
        <v>26</v>
      </c>
      <c r="G45" s="2" t="s">
        <v>27</v>
      </c>
      <c r="H45" s="2" t="s">
        <v>28</v>
      </c>
      <c r="I45" s="2" t="s">
        <v>29</v>
      </c>
      <c r="J45" s="2" t="s">
        <v>30</v>
      </c>
      <c r="K45" s="2" t="s">
        <v>31</v>
      </c>
      <c r="L45" s="2" t="s">
        <v>33</v>
      </c>
      <c r="M45" s="2" t="s">
        <v>49</v>
      </c>
      <c r="N45" s="2" t="s">
        <v>34</v>
      </c>
      <c r="O45" s="2" t="s">
        <v>328</v>
      </c>
      <c r="P45" s="2" t="s">
        <v>76</v>
      </c>
      <c r="Q45" s="2" t="s">
        <v>25</v>
      </c>
      <c r="R45" s="2" t="s">
        <v>37</v>
      </c>
      <c r="S45" s="2" t="s">
        <v>281</v>
      </c>
      <c r="T45" s="2" t="s">
        <v>329</v>
      </c>
      <c r="U45" s="2" t="s">
        <v>330</v>
      </c>
      <c r="V45" s="2"/>
    </row>
    <row r="46" ht="57">
      <c r="A46" s="2">
        <v>45</v>
      </c>
      <c r="B46" s="2" t="s">
        <v>41</v>
      </c>
      <c r="C46" s="2" t="s">
        <v>331</v>
      </c>
      <c r="D46" s="2" t="s">
        <v>43</v>
      </c>
      <c r="E46" s="2" t="s">
        <v>44</v>
      </c>
      <c r="F46" s="2" t="s">
        <v>26</v>
      </c>
      <c r="G46" s="2" t="s">
        <v>73</v>
      </c>
      <c r="H46" s="2" t="s">
        <v>45</v>
      </c>
      <c r="I46" s="2" t="s">
        <v>29</v>
      </c>
      <c r="J46" s="2" t="s">
        <v>84</v>
      </c>
      <c r="K46" s="2" t="s">
        <v>62</v>
      </c>
      <c r="L46" s="2" t="s">
        <v>33</v>
      </c>
      <c r="M46" s="2" t="s">
        <v>63</v>
      </c>
      <c r="N46" s="2" t="s">
        <v>34</v>
      </c>
      <c r="O46" s="2" t="s">
        <v>33</v>
      </c>
      <c r="P46" s="2" t="s">
        <v>332</v>
      </c>
      <c r="Q46" s="2" t="s">
        <v>25</v>
      </c>
      <c r="R46" s="2" t="s">
        <v>52</v>
      </c>
      <c r="S46" s="2" t="s">
        <v>333</v>
      </c>
      <c r="T46" s="2" t="s">
        <v>334</v>
      </c>
      <c r="U46" s="2" t="s">
        <v>335</v>
      </c>
      <c r="V46" s="2" t="s">
        <v>145</v>
      </c>
    </row>
    <row r="47" ht="42.75">
      <c r="A47" s="2">
        <v>46</v>
      </c>
      <c r="B47" s="2" t="s">
        <v>239</v>
      </c>
      <c r="C47" s="2" t="s">
        <v>336</v>
      </c>
      <c r="D47" s="2" t="s">
        <v>24</v>
      </c>
      <c r="E47" s="2" t="s">
        <v>25</v>
      </c>
      <c r="F47" s="2" t="s">
        <v>26</v>
      </c>
      <c r="G47" s="2" t="s">
        <v>27</v>
      </c>
      <c r="H47" s="2" t="s">
        <v>28</v>
      </c>
      <c r="I47" s="2" t="s">
        <v>29</v>
      </c>
      <c r="J47" s="2" t="s">
        <v>30</v>
      </c>
      <c r="K47" s="2" t="s">
        <v>62</v>
      </c>
      <c r="L47" s="2" t="s">
        <v>337</v>
      </c>
      <c r="M47" s="2" t="s">
        <v>113</v>
      </c>
      <c r="N47" s="2" t="s">
        <v>34</v>
      </c>
      <c r="O47" s="2" t="s">
        <v>338</v>
      </c>
      <c r="P47" s="2" t="s">
        <v>339</v>
      </c>
      <c r="Q47" s="2" t="s">
        <v>25</v>
      </c>
      <c r="R47" s="2" t="s">
        <v>37</v>
      </c>
      <c r="S47" s="2" t="s">
        <v>107</v>
      </c>
      <c r="T47" s="2" t="s">
        <v>340</v>
      </c>
      <c r="U47" s="2" t="s">
        <v>341</v>
      </c>
      <c r="V47" s="2"/>
    </row>
    <row r="48" ht="71.25">
      <c r="A48" s="2">
        <v>47</v>
      </c>
      <c r="B48" s="2" t="s">
        <v>56</v>
      </c>
      <c r="C48" s="2" t="s">
        <v>342</v>
      </c>
      <c r="D48" s="2" t="s">
        <v>24</v>
      </c>
      <c r="E48" s="2" t="s">
        <v>25</v>
      </c>
      <c r="F48" s="2" t="s">
        <v>72</v>
      </c>
      <c r="G48" s="2" t="s">
        <v>73</v>
      </c>
      <c r="H48" s="2" t="s">
        <v>74</v>
      </c>
      <c r="I48" s="2" t="s">
        <v>75</v>
      </c>
      <c r="J48" s="2" t="s">
        <v>30</v>
      </c>
      <c r="K48" s="2" t="s">
        <v>62</v>
      </c>
      <c r="L48" s="2" t="s">
        <v>33</v>
      </c>
      <c r="M48" s="2" t="s">
        <v>33</v>
      </c>
      <c r="N48" s="2" t="s">
        <v>33</v>
      </c>
      <c r="O48" s="2" t="s">
        <v>33</v>
      </c>
      <c r="P48" s="2" t="s">
        <v>343</v>
      </c>
      <c r="Q48" s="2" t="s">
        <v>25</v>
      </c>
      <c r="R48" s="2" t="s">
        <v>77</v>
      </c>
      <c r="S48" s="2" t="s">
        <v>344</v>
      </c>
      <c r="T48" s="2" t="s">
        <v>345</v>
      </c>
      <c r="U48" s="2" t="s">
        <v>346</v>
      </c>
      <c r="V48" s="2"/>
    </row>
    <row r="49" ht="71.25">
      <c r="A49" s="2">
        <v>48</v>
      </c>
      <c r="B49" s="2" t="s">
        <v>110</v>
      </c>
      <c r="C49" s="2" t="s">
        <v>347</v>
      </c>
      <c r="D49" s="2" t="s">
        <v>24</v>
      </c>
      <c r="E49" s="2" t="s">
        <v>25</v>
      </c>
      <c r="F49" s="2" t="s">
        <v>26</v>
      </c>
      <c r="G49" s="2" t="s">
        <v>27</v>
      </c>
      <c r="H49" s="2" t="s">
        <v>28</v>
      </c>
      <c r="I49" s="2" t="s">
        <v>29</v>
      </c>
      <c r="J49" s="2" t="s">
        <v>98</v>
      </c>
      <c r="K49" s="2" t="s">
        <v>161</v>
      </c>
      <c r="L49" s="2" t="s">
        <v>348</v>
      </c>
      <c r="M49" s="2" t="s">
        <v>113</v>
      </c>
      <c r="N49" s="2" t="s">
        <v>34</v>
      </c>
      <c r="O49" s="2" t="s">
        <v>33</v>
      </c>
      <c r="P49" s="2" t="s">
        <v>349</v>
      </c>
      <c r="Q49" s="2" t="s">
        <v>25</v>
      </c>
      <c r="R49" s="2" t="s">
        <v>37</v>
      </c>
      <c r="S49" s="2" t="s">
        <v>149</v>
      </c>
      <c r="T49" s="2" t="s">
        <v>350</v>
      </c>
      <c r="U49" s="2" t="s">
        <v>351</v>
      </c>
      <c r="V49" s="2" t="s">
        <v>197</v>
      </c>
    </row>
    <row r="50" ht="99.75">
      <c r="A50" s="2">
        <v>49</v>
      </c>
      <c r="B50" s="2" t="s">
        <v>41</v>
      </c>
      <c r="C50" s="2" t="s">
        <v>352</v>
      </c>
      <c r="D50" s="2" t="s">
        <v>24</v>
      </c>
      <c r="E50" s="2" t="s">
        <v>25</v>
      </c>
      <c r="F50" s="2" t="s">
        <v>26</v>
      </c>
      <c r="G50" s="2" t="s">
        <v>27</v>
      </c>
      <c r="H50" s="2" t="s">
        <v>28</v>
      </c>
      <c r="I50" s="2" t="s">
        <v>29</v>
      </c>
      <c r="J50" s="2" t="s">
        <v>30</v>
      </c>
      <c r="K50" s="2" t="s">
        <v>104</v>
      </c>
      <c r="L50" s="2" t="s">
        <v>33</v>
      </c>
      <c r="M50" s="2" t="s">
        <v>33</v>
      </c>
      <c r="N50" s="2" t="s">
        <v>353</v>
      </c>
      <c r="O50" s="2" t="s">
        <v>33</v>
      </c>
      <c r="P50" s="2" t="s">
        <v>354</v>
      </c>
      <c r="Q50" s="2" t="s">
        <v>25</v>
      </c>
      <c r="R50" s="2" t="s">
        <v>37</v>
      </c>
      <c r="S50" s="2" t="s">
        <v>78</v>
      </c>
      <c r="T50" s="2" t="s">
        <v>355</v>
      </c>
      <c r="U50" s="2" t="s">
        <v>356</v>
      </c>
      <c r="V50" s="2" t="s">
        <v>81</v>
      </c>
    </row>
    <row r="51" ht="42.75">
      <c r="A51" s="2">
        <v>50</v>
      </c>
      <c r="B51" s="2" t="s">
        <v>56</v>
      </c>
      <c r="C51" s="2" t="s">
        <v>357</v>
      </c>
      <c r="D51" s="2" t="s">
        <v>24</v>
      </c>
      <c r="E51" s="2" t="s">
        <v>25</v>
      </c>
      <c r="F51" s="2" t="s">
        <v>26</v>
      </c>
      <c r="G51" s="2" t="s">
        <v>27</v>
      </c>
      <c r="H51" s="2" t="s">
        <v>28</v>
      </c>
      <c r="I51" s="2" t="s">
        <v>29</v>
      </c>
      <c r="J51" s="2" t="s">
        <v>30</v>
      </c>
      <c r="K51" s="2" t="s">
        <v>48</v>
      </c>
      <c r="L51" s="2" t="s">
        <v>33</v>
      </c>
      <c r="M51" s="2" t="s">
        <v>33</v>
      </c>
      <c r="N51" s="2" t="s">
        <v>86</v>
      </c>
      <c r="O51" s="2" t="s">
        <v>33</v>
      </c>
      <c r="P51" s="2" t="s">
        <v>76</v>
      </c>
      <c r="Q51" s="2" t="s">
        <v>25</v>
      </c>
      <c r="R51" s="2" t="s">
        <v>37</v>
      </c>
      <c r="S51" s="2" t="s">
        <v>358</v>
      </c>
      <c r="T51" s="2" t="s">
        <v>359</v>
      </c>
      <c r="U51" s="2" t="s">
        <v>360</v>
      </c>
      <c r="V51" s="2" t="s">
        <v>81</v>
      </c>
    </row>
    <row r="52" ht="57">
      <c r="A52" s="2">
        <v>51</v>
      </c>
      <c r="B52" s="2" t="s">
        <v>192</v>
      </c>
      <c r="C52" s="2" t="s">
        <v>361</v>
      </c>
      <c r="D52" s="2" t="s">
        <v>24</v>
      </c>
      <c r="E52" s="2" t="s">
        <v>25</v>
      </c>
      <c r="F52" s="2" t="s">
        <v>58</v>
      </c>
      <c r="G52" s="2" t="s">
        <v>59</v>
      </c>
      <c r="H52" s="2" t="s">
        <v>60</v>
      </c>
      <c r="I52" s="2" t="s">
        <v>29</v>
      </c>
      <c r="J52" s="2" t="s">
        <v>84</v>
      </c>
      <c r="K52" s="2" t="s">
        <v>161</v>
      </c>
      <c r="L52" s="2" t="s">
        <v>33</v>
      </c>
      <c r="M52" s="2" t="s">
        <v>33</v>
      </c>
      <c r="N52" s="2" t="s">
        <v>362</v>
      </c>
      <c r="O52" s="2" t="s">
        <v>33</v>
      </c>
      <c r="P52" s="2" t="s">
        <v>76</v>
      </c>
      <c r="Q52" s="2" t="s">
        <v>25</v>
      </c>
      <c r="R52" s="2" t="s">
        <v>66</v>
      </c>
      <c r="S52" s="2" t="s">
        <v>128</v>
      </c>
      <c r="T52" s="2" t="s">
        <v>363</v>
      </c>
      <c r="U52" s="2" t="s">
        <v>364</v>
      </c>
      <c r="V52" s="2" t="s">
        <v>197</v>
      </c>
    </row>
    <row r="53" ht="42.75">
      <c r="A53" s="2">
        <v>52</v>
      </c>
      <c r="B53" s="2" t="s">
        <v>192</v>
      </c>
      <c r="C53" s="2" t="s">
        <v>365</v>
      </c>
      <c r="D53" s="2" t="s">
        <v>24</v>
      </c>
      <c r="E53" s="2" t="s">
        <v>25</v>
      </c>
      <c r="F53" s="2" t="s">
        <v>26</v>
      </c>
      <c r="G53" s="2" t="s">
        <v>27</v>
      </c>
      <c r="H53" s="2" t="s">
        <v>28</v>
      </c>
      <c r="I53" s="2" t="s">
        <v>29</v>
      </c>
      <c r="J53" s="2" t="s">
        <v>30</v>
      </c>
      <c r="K53" s="2" t="s">
        <v>31</v>
      </c>
      <c r="L53" s="2" t="s">
        <v>33</v>
      </c>
      <c r="M53" s="2" t="s">
        <v>366</v>
      </c>
      <c r="N53" s="2" t="s">
        <v>259</v>
      </c>
      <c r="O53" s="2" t="s">
        <v>93</v>
      </c>
      <c r="P53" s="2" t="s">
        <v>76</v>
      </c>
      <c r="Q53" s="2" t="s">
        <v>25</v>
      </c>
      <c r="R53" s="2" t="s">
        <v>37</v>
      </c>
      <c r="S53" s="2" t="s">
        <v>367</v>
      </c>
      <c r="T53" s="2" t="s">
        <v>368</v>
      </c>
      <c r="U53" s="2" t="s">
        <v>369</v>
      </c>
      <c r="V53" s="2"/>
    </row>
    <row r="54" ht="42.75">
      <c r="A54" s="2">
        <v>53</v>
      </c>
      <c r="B54" s="2" t="s">
        <v>41</v>
      </c>
      <c r="C54" s="2" t="s">
        <v>370</v>
      </c>
      <c r="D54" s="2" t="s">
        <v>43</v>
      </c>
      <c r="E54" s="2" t="s">
        <v>44</v>
      </c>
      <c r="F54" s="2" t="s">
        <v>26</v>
      </c>
      <c r="G54" s="2" t="s">
        <v>27</v>
      </c>
      <c r="H54" s="2" t="s">
        <v>45</v>
      </c>
      <c r="I54" s="2" t="s">
        <v>29</v>
      </c>
      <c r="J54" s="2" t="s">
        <v>112</v>
      </c>
      <c r="K54" s="2" t="s">
        <v>62</v>
      </c>
      <c r="L54" s="2" t="s">
        <v>371</v>
      </c>
      <c r="M54" s="2" t="s">
        <v>372</v>
      </c>
      <c r="N54" s="2" t="s">
        <v>373</v>
      </c>
      <c r="O54" s="2" t="s">
        <v>218</v>
      </c>
      <c r="P54" s="2" t="s">
        <v>374</v>
      </c>
      <c r="Q54" s="2" t="s">
        <v>25</v>
      </c>
      <c r="R54" s="2" t="s">
        <v>52</v>
      </c>
      <c r="S54" s="2" t="s">
        <v>375</v>
      </c>
      <c r="T54" s="2" t="s">
        <v>376</v>
      </c>
      <c r="U54" s="2" t="s">
        <v>377</v>
      </c>
      <c r="V54" s="2"/>
    </row>
    <row r="55" ht="42.75">
      <c r="A55" s="2">
        <v>54</v>
      </c>
      <c r="B55" s="2" t="s">
        <v>117</v>
      </c>
      <c r="C55" s="2" t="s">
        <v>378</v>
      </c>
      <c r="D55" s="2" t="s">
        <v>24</v>
      </c>
      <c r="E55" s="2" t="s">
        <v>25</v>
      </c>
      <c r="F55" s="2" t="s">
        <v>58</v>
      </c>
      <c r="G55" s="2" t="s">
        <v>59</v>
      </c>
      <c r="H55" s="2" t="s">
        <v>60</v>
      </c>
      <c r="I55" s="2" t="s">
        <v>29</v>
      </c>
      <c r="J55" s="2" t="s">
        <v>379</v>
      </c>
      <c r="K55" s="2" t="s">
        <v>48</v>
      </c>
      <c r="L55" s="2" t="s">
        <v>33</v>
      </c>
      <c r="M55" s="2" t="s">
        <v>33</v>
      </c>
      <c r="N55" s="2" t="s">
        <v>86</v>
      </c>
      <c r="O55" s="2" t="s">
        <v>380</v>
      </c>
      <c r="P55" s="2" t="s">
        <v>381</v>
      </c>
      <c r="Q55" s="2" t="s">
        <v>25</v>
      </c>
      <c r="R55" s="2" t="s">
        <v>66</v>
      </c>
      <c r="S55" s="2" t="s">
        <v>382</v>
      </c>
      <c r="T55" s="2" t="s">
        <v>383</v>
      </c>
      <c r="U55" s="2" t="s">
        <v>384</v>
      </c>
      <c r="V55" s="2" t="s">
        <v>81</v>
      </c>
    </row>
    <row r="56" ht="42.75">
      <c r="A56" s="2">
        <v>55</v>
      </c>
      <c r="B56" s="2" t="s">
        <v>41</v>
      </c>
      <c r="C56" s="2" t="s">
        <v>385</v>
      </c>
      <c r="D56" s="2" t="s">
        <v>43</v>
      </c>
      <c r="E56" s="2" t="s">
        <v>44</v>
      </c>
      <c r="F56" s="2" t="s">
        <v>26</v>
      </c>
      <c r="G56" s="2" t="s">
        <v>27</v>
      </c>
      <c r="H56" s="2" t="s">
        <v>45</v>
      </c>
      <c r="I56" s="2" t="s">
        <v>46</v>
      </c>
      <c r="J56" s="2" t="s">
        <v>160</v>
      </c>
      <c r="K56" s="2" t="s">
        <v>48</v>
      </c>
      <c r="L56" s="2" t="s">
        <v>386</v>
      </c>
      <c r="M56" s="2" t="s">
        <v>178</v>
      </c>
      <c r="N56" s="2" t="s">
        <v>387</v>
      </c>
      <c r="O56" s="2" t="s">
        <v>218</v>
      </c>
      <c r="P56" s="2" t="s">
        <v>388</v>
      </c>
      <c r="Q56" s="2" t="s">
        <v>25</v>
      </c>
      <c r="R56" s="2" t="s">
        <v>52</v>
      </c>
      <c r="S56" s="2" t="s">
        <v>67</v>
      </c>
      <c r="T56" s="2" t="s">
        <v>389</v>
      </c>
      <c r="U56" s="2" t="s">
        <v>390</v>
      </c>
      <c r="V56" s="2"/>
    </row>
    <row r="57" ht="57">
      <c r="A57" s="2">
        <v>56</v>
      </c>
      <c r="B57" s="2" t="s">
        <v>82</v>
      </c>
      <c r="C57" s="2" t="s">
        <v>391</v>
      </c>
      <c r="D57" s="2" t="s">
        <v>24</v>
      </c>
      <c r="E57" s="2" t="s">
        <v>25</v>
      </c>
      <c r="F57" s="2" t="s">
        <v>72</v>
      </c>
      <c r="G57" s="2" t="s">
        <v>73</v>
      </c>
      <c r="H57" s="2" t="s">
        <v>74</v>
      </c>
      <c r="I57" s="2" t="s">
        <v>75</v>
      </c>
      <c r="J57" s="2" t="s">
        <v>30</v>
      </c>
      <c r="K57" s="2" t="s">
        <v>62</v>
      </c>
      <c r="L57" s="2" t="s">
        <v>33</v>
      </c>
      <c r="M57" s="2" t="s">
        <v>33</v>
      </c>
      <c r="N57" s="2" t="s">
        <v>33</v>
      </c>
      <c r="O57" s="2" t="s">
        <v>33</v>
      </c>
      <c r="P57" s="2" t="s">
        <v>76</v>
      </c>
      <c r="Q57" s="2" t="s">
        <v>25</v>
      </c>
      <c r="R57" s="2" t="s">
        <v>77</v>
      </c>
      <c r="S57" s="2" t="s">
        <v>199</v>
      </c>
      <c r="T57" s="2" t="s">
        <v>392</v>
      </c>
      <c r="U57" s="2" t="s">
        <v>393</v>
      </c>
      <c r="V57" s="2"/>
    </row>
    <row r="58" ht="71.25">
      <c r="A58" s="2">
        <v>57</v>
      </c>
      <c r="B58" s="2" t="s">
        <v>41</v>
      </c>
      <c r="C58" s="2" t="s">
        <v>394</v>
      </c>
      <c r="D58" s="2" t="s">
        <v>24</v>
      </c>
      <c r="E58" s="2" t="s">
        <v>25</v>
      </c>
      <c r="F58" s="2" t="s">
        <v>26</v>
      </c>
      <c r="G58" s="2" t="s">
        <v>27</v>
      </c>
      <c r="H58" s="2" t="s">
        <v>28</v>
      </c>
      <c r="I58" s="2" t="s">
        <v>46</v>
      </c>
      <c r="J58" s="2" t="s">
        <v>30</v>
      </c>
      <c r="K58" s="2" t="s">
        <v>62</v>
      </c>
      <c r="L58" s="2" t="s">
        <v>33</v>
      </c>
      <c r="M58" s="2" t="s">
        <v>395</v>
      </c>
      <c r="N58" s="2" t="s">
        <v>217</v>
      </c>
      <c r="O58" s="2" t="s">
        <v>33</v>
      </c>
      <c r="P58" s="2" t="s">
        <v>396</v>
      </c>
      <c r="Q58" s="2" t="s">
        <v>25</v>
      </c>
      <c r="R58" s="2" t="s">
        <v>37</v>
      </c>
      <c r="S58" s="2" t="s">
        <v>397</v>
      </c>
      <c r="T58" s="2" t="s">
        <v>398</v>
      </c>
      <c r="U58" s="2" t="s">
        <v>399</v>
      </c>
      <c r="V58" s="2"/>
    </row>
    <row r="59" ht="42.75">
      <c r="A59" s="2">
        <v>58</v>
      </c>
      <c r="B59" s="2" t="s">
        <v>56</v>
      </c>
      <c r="C59" s="2" t="s">
        <v>400</v>
      </c>
      <c r="D59" s="2" t="s">
        <v>24</v>
      </c>
      <c r="E59" s="2" t="s">
        <v>25</v>
      </c>
      <c r="F59" s="2" t="s">
        <v>72</v>
      </c>
      <c r="G59" s="2" t="s">
        <v>73</v>
      </c>
      <c r="H59" s="2" t="s">
        <v>302</v>
      </c>
      <c r="I59" s="2" t="s">
        <v>176</v>
      </c>
      <c r="J59" s="2" t="s">
        <v>112</v>
      </c>
      <c r="K59" s="2" t="s">
        <v>48</v>
      </c>
      <c r="L59" s="2" t="s">
        <v>33</v>
      </c>
      <c r="M59" s="2" t="s">
        <v>401</v>
      </c>
      <c r="N59" s="2" t="s">
        <v>402</v>
      </c>
      <c r="O59" s="2" t="s">
        <v>33</v>
      </c>
      <c r="P59" s="2" t="s">
        <v>403</v>
      </c>
      <c r="Q59" s="2" t="s">
        <v>181</v>
      </c>
      <c r="R59" s="2" t="s">
        <v>305</v>
      </c>
      <c r="S59" s="2" t="s">
        <v>404</v>
      </c>
      <c r="T59" s="2" t="s">
        <v>405</v>
      </c>
      <c r="U59" s="2" t="s">
        <v>406</v>
      </c>
      <c r="V59" s="2" t="s">
        <v>145</v>
      </c>
    </row>
    <row r="60" ht="71.25">
      <c r="A60" s="2">
        <v>59</v>
      </c>
      <c r="B60" s="2" t="s">
        <v>117</v>
      </c>
      <c r="C60" s="2" t="s">
        <v>407</v>
      </c>
      <c r="D60" s="2" t="s">
        <v>24</v>
      </c>
      <c r="E60" s="2" t="s">
        <v>25</v>
      </c>
      <c r="F60" s="2" t="s">
        <v>58</v>
      </c>
      <c r="G60" s="2" t="s">
        <v>59</v>
      </c>
      <c r="H60" s="2" t="s">
        <v>60</v>
      </c>
      <c r="I60" s="2" t="s">
        <v>29</v>
      </c>
      <c r="J60" s="2" t="s">
        <v>61</v>
      </c>
      <c r="K60" s="2" t="s">
        <v>31</v>
      </c>
      <c r="L60" s="2" t="s">
        <v>33</v>
      </c>
      <c r="M60" s="2" t="s">
        <v>63</v>
      </c>
      <c r="N60" s="2" t="s">
        <v>408</v>
      </c>
      <c r="O60" s="2" t="s">
        <v>218</v>
      </c>
      <c r="P60" s="2" t="s">
        <v>409</v>
      </c>
      <c r="Q60" s="2" t="s">
        <v>25</v>
      </c>
      <c r="R60" s="2" t="s">
        <v>66</v>
      </c>
      <c r="S60" s="2" t="s">
        <v>344</v>
      </c>
      <c r="T60" s="2" t="s">
        <v>410</v>
      </c>
      <c r="U60" s="2" t="s">
        <v>411</v>
      </c>
      <c r="V60" s="2"/>
    </row>
    <row r="61" ht="42.75">
      <c r="A61" s="2">
        <v>60</v>
      </c>
      <c r="B61" s="2" t="s">
        <v>41</v>
      </c>
      <c r="C61" s="2" t="s">
        <v>412</v>
      </c>
      <c r="D61" s="2" t="s">
        <v>24</v>
      </c>
      <c r="E61" s="2" t="s">
        <v>25</v>
      </c>
      <c r="F61" s="2" t="s">
        <v>26</v>
      </c>
      <c r="G61" s="2" t="s">
        <v>27</v>
      </c>
      <c r="H61" s="2" t="s">
        <v>28</v>
      </c>
      <c r="I61" s="2" t="s">
        <v>46</v>
      </c>
      <c r="J61" s="2" t="s">
        <v>154</v>
      </c>
      <c r="K61" s="2" t="s">
        <v>48</v>
      </c>
      <c r="L61" s="2" t="s">
        <v>33</v>
      </c>
      <c r="M61" s="2" t="s">
        <v>33</v>
      </c>
      <c r="N61" s="2" t="s">
        <v>34</v>
      </c>
      <c r="O61" s="2" t="s">
        <v>33</v>
      </c>
      <c r="P61" s="2" t="s">
        <v>413</v>
      </c>
      <c r="Q61" s="2" t="s">
        <v>25</v>
      </c>
      <c r="R61" s="2" t="s">
        <v>37</v>
      </c>
      <c r="S61" s="2" t="s">
        <v>414</v>
      </c>
      <c r="T61" s="2" t="s">
        <v>415</v>
      </c>
      <c r="U61" s="2" t="s">
        <v>416</v>
      </c>
      <c r="V61" s="2"/>
    </row>
    <row r="62" ht="42.75">
      <c r="A62" s="2">
        <v>61</v>
      </c>
      <c r="B62" s="2" t="s">
        <v>41</v>
      </c>
      <c r="C62" s="2" t="s">
        <v>417</v>
      </c>
      <c r="D62" s="2" t="s">
        <v>24</v>
      </c>
      <c r="E62" s="2" t="s">
        <v>25</v>
      </c>
      <c r="F62" s="2" t="s">
        <v>72</v>
      </c>
      <c r="G62" s="2" t="s">
        <v>73</v>
      </c>
      <c r="H62" s="2" t="s">
        <v>74</v>
      </c>
      <c r="I62" s="2" t="s">
        <v>75</v>
      </c>
      <c r="J62" s="2" t="s">
        <v>30</v>
      </c>
      <c r="K62" s="2" t="s">
        <v>62</v>
      </c>
      <c r="L62" s="2" t="s">
        <v>33</v>
      </c>
      <c r="M62" s="2" t="s">
        <v>33</v>
      </c>
      <c r="N62" s="2" t="s">
        <v>33</v>
      </c>
      <c r="O62" s="2" t="s">
        <v>33</v>
      </c>
      <c r="P62" s="2" t="s">
        <v>76</v>
      </c>
      <c r="Q62" s="2" t="s">
        <v>25</v>
      </c>
      <c r="R62" s="2" t="s">
        <v>77</v>
      </c>
      <c r="S62" s="2" t="s">
        <v>418</v>
      </c>
      <c r="T62" s="2" t="s">
        <v>419</v>
      </c>
      <c r="U62" s="2" t="s">
        <v>420</v>
      </c>
      <c r="V62" s="2"/>
    </row>
    <row r="63" ht="42.75">
      <c r="A63" s="2">
        <v>62</v>
      </c>
      <c r="B63" s="2" t="s">
        <v>117</v>
      </c>
      <c r="C63" s="2" t="s">
        <v>421</v>
      </c>
      <c r="D63" s="2" t="s">
        <v>24</v>
      </c>
      <c r="E63" s="2" t="s">
        <v>25</v>
      </c>
      <c r="F63" s="2" t="s">
        <v>72</v>
      </c>
      <c r="G63" s="2" t="s">
        <v>73</v>
      </c>
      <c r="H63" s="2" t="s">
        <v>74</v>
      </c>
      <c r="I63" s="2" t="s">
        <v>75</v>
      </c>
      <c r="J63" s="2" t="s">
        <v>30</v>
      </c>
      <c r="K63" s="2" t="s">
        <v>99</v>
      </c>
      <c r="L63" s="2" t="s">
        <v>33</v>
      </c>
      <c r="M63" s="2" t="s">
        <v>33</v>
      </c>
      <c r="N63" s="2" t="s">
        <v>33</v>
      </c>
      <c r="O63" s="2" t="s">
        <v>33</v>
      </c>
      <c r="P63" s="2" t="s">
        <v>76</v>
      </c>
      <c r="Q63" s="2" t="s">
        <v>25</v>
      </c>
      <c r="R63" s="2" t="s">
        <v>77</v>
      </c>
      <c r="S63" s="2" t="s">
        <v>422</v>
      </c>
      <c r="T63" s="2" t="s">
        <v>423</v>
      </c>
      <c r="U63" s="2" t="s">
        <v>424</v>
      </c>
      <c r="V63" s="2" t="s">
        <v>81</v>
      </c>
    </row>
    <row r="64" ht="42.75">
      <c r="A64" s="2">
        <v>63</v>
      </c>
      <c r="B64" s="2" t="s">
        <v>22</v>
      </c>
      <c r="C64" s="2" t="s">
        <v>425</v>
      </c>
      <c r="D64" s="2" t="s">
        <v>24</v>
      </c>
      <c r="E64" s="2" t="s">
        <v>25</v>
      </c>
      <c r="F64" s="2" t="s">
        <v>26</v>
      </c>
      <c r="G64" s="2" t="s">
        <v>27</v>
      </c>
      <c r="H64" s="2" t="s">
        <v>28</v>
      </c>
      <c r="I64" s="2" t="s">
        <v>29</v>
      </c>
      <c r="J64" s="2" t="s">
        <v>30</v>
      </c>
      <c r="K64" s="2" t="s">
        <v>31</v>
      </c>
      <c r="L64" s="2" t="s">
        <v>426</v>
      </c>
      <c r="M64" s="2" t="s">
        <v>63</v>
      </c>
      <c r="N64" s="2" t="s">
        <v>86</v>
      </c>
      <c r="O64" s="2" t="s">
        <v>35</v>
      </c>
      <c r="P64" s="2" t="s">
        <v>76</v>
      </c>
      <c r="Q64" s="2" t="s">
        <v>25</v>
      </c>
      <c r="R64" s="2" t="s">
        <v>37</v>
      </c>
      <c r="S64" s="2" t="s">
        <v>135</v>
      </c>
      <c r="T64" s="2" t="s">
        <v>427</v>
      </c>
      <c r="U64" s="2" t="s">
        <v>428</v>
      </c>
      <c r="V64" s="2"/>
    </row>
    <row r="65">
      <c r="A65" s="2">
        <v>64</v>
      </c>
      <c r="B65" s="2" t="s">
        <v>82</v>
      </c>
      <c r="C65" s="2" t="s">
        <v>429</v>
      </c>
      <c r="D65" s="2" t="s">
        <v>24</v>
      </c>
      <c r="E65" s="2" t="s">
        <v>25</v>
      </c>
      <c r="F65" s="2" t="s">
        <v>58</v>
      </c>
      <c r="G65" s="2" t="s">
        <v>59</v>
      </c>
      <c r="H65" s="2" t="s">
        <v>60</v>
      </c>
      <c r="I65" s="2" t="s">
        <v>46</v>
      </c>
      <c r="J65" s="2" t="s">
        <v>112</v>
      </c>
      <c r="K65" s="2" t="s">
        <v>62</v>
      </c>
      <c r="L65" s="2" t="s">
        <v>33</v>
      </c>
      <c r="M65" s="2" t="s">
        <v>63</v>
      </c>
      <c r="N65" s="2" t="s">
        <v>430</v>
      </c>
      <c r="O65" s="2" t="s">
        <v>33</v>
      </c>
      <c r="P65" s="2" t="s">
        <v>431</v>
      </c>
      <c r="Q65" s="2" t="s">
        <v>25</v>
      </c>
      <c r="R65" s="2" t="s">
        <v>66</v>
      </c>
      <c r="S65" s="2" t="s">
        <v>207</v>
      </c>
      <c r="T65" s="2" t="s">
        <v>432</v>
      </c>
      <c r="U65" s="2" t="s">
        <v>433</v>
      </c>
      <c r="V65" s="2"/>
    </row>
    <row r="66">
      <c r="A66" s="2">
        <v>65</v>
      </c>
      <c r="B66" s="2" t="s">
        <v>192</v>
      </c>
      <c r="C66" s="2" t="s">
        <v>434</v>
      </c>
      <c r="D66" s="2" t="s">
        <v>24</v>
      </c>
      <c r="E66" s="2" t="s">
        <v>25</v>
      </c>
      <c r="F66" s="2" t="s">
        <v>58</v>
      </c>
      <c r="G66" s="2" t="s">
        <v>59</v>
      </c>
      <c r="H66" s="2" t="s">
        <v>60</v>
      </c>
      <c r="I66" s="2" t="s">
        <v>46</v>
      </c>
      <c r="J66" s="2" t="s">
        <v>84</v>
      </c>
      <c r="K66" s="2" t="s">
        <v>161</v>
      </c>
      <c r="L66" s="2" t="s">
        <v>33</v>
      </c>
      <c r="M66" s="2" t="s">
        <v>33</v>
      </c>
      <c r="N66" s="2" t="s">
        <v>34</v>
      </c>
      <c r="O66" s="2" t="s">
        <v>33</v>
      </c>
      <c r="P66" s="2" t="s">
        <v>435</v>
      </c>
      <c r="Q66" s="2" t="s">
        <v>25</v>
      </c>
      <c r="R66" s="2" t="s">
        <v>66</v>
      </c>
      <c r="S66" s="2" t="s">
        <v>436</v>
      </c>
      <c r="T66" s="2" t="s">
        <v>437</v>
      </c>
      <c r="U66" s="2" t="s">
        <v>438</v>
      </c>
      <c r="V66" s="2"/>
    </row>
    <row r="67">
      <c r="A67" s="2">
        <v>66</v>
      </c>
      <c r="B67" s="2" t="s">
        <v>192</v>
      </c>
      <c r="C67" s="2" t="s">
        <v>439</v>
      </c>
      <c r="D67" s="2" t="s">
        <v>24</v>
      </c>
      <c r="E67" s="2" t="s">
        <v>25</v>
      </c>
      <c r="F67" s="2" t="s">
        <v>26</v>
      </c>
      <c r="G67" s="2" t="s">
        <v>27</v>
      </c>
      <c r="H67" s="2" t="s">
        <v>28</v>
      </c>
      <c r="I67" s="2" t="s">
        <v>29</v>
      </c>
      <c r="J67" s="2" t="s">
        <v>30</v>
      </c>
      <c r="K67" s="2" t="s">
        <v>31</v>
      </c>
      <c r="L67" s="2" t="s">
        <v>33</v>
      </c>
      <c r="M67" s="2" t="s">
        <v>366</v>
      </c>
      <c r="N67" s="2" t="s">
        <v>140</v>
      </c>
      <c r="O67" s="2" t="s">
        <v>93</v>
      </c>
      <c r="P67" s="2" t="s">
        <v>440</v>
      </c>
      <c r="Q67" s="2" t="s">
        <v>25</v>
      </c>
      <c r="R67" s="2" t="s">
        <v>37</v>
      </c>
      <c r="S67" s="2" t="s">
        <v>441</v>
      </c>
      <c r="T67" s="2" t="s">
        <v>442</v>
      </c>
      <c r="U67" s="2" t="s">
        <v>443</v>
      </c>
      <c r="V67" s="2" t="s">
        <v>81</v>
      </c>
    </row>
    <row r="68">
      <c r="A68" s="2">
        <v>67</v>
      </c>
      <c r="B68" s="2" t="s">
        <v>444</v>
      </c>
      <c r="C68" s="2" t="s">
        <v>445</v>
      </c>
      <c r="D68" s="2" t="s">
        <v>24</v>
      </c>
      <c r="E68" s="2" t="s">
        <v>25</v>
      </c>
      <c r="F68" s="2" t="s">
        <v>58</v>
      </c>
      <c r="G68" s="2" t="s">
        <v>59</v>
      </c>
      <c r="H68" s="2" t="s">
        <v>60</v>
      </c>
      <c r="I68" s="2" t="s">
        <v>29</v>
      </c>
      <c r="J68" s="2" t="s">
        <v>47</v>
      </c>
      <c r="K68" s="2" t="s">
        <v>62</v>
      </c>
      <c r="L68" s="2" t="s">
        <v>33</v>
      </c>
      <c r="M68" s="2" t="s">
        <v>33</v>
      </c>
      <c r="N68" s="2" t="s">
        <v>446</v>
      </c>
      <c r="O68" s="2" t="s">
        <v>33</v>
      </c>
      <c r="P68" s="2" t="s">
        <v>447</v>
      </c>
      <c r="Q68" s="2" t="s">
        <v>25</v>
      </c>
      <c r="R68" s="2" t="s">
        <v>66</v>
      </c>
      <c r="S68" s="2" t="s">
        <v>448</v>
      </c>
      <c r="T68" s="2" t="s">
        <v>449</v>
      </c>
      <c r="U68" s="2" t="s">
        <v>450</v>
      </c>
      <c r="V68" s="2"/>
    </row>
    <row r="69">
      <c r="A69" s="2">
        <v>68</v>
      </c>
      <c r="B69" s="2" t="s">
        <v>41</v>
      </c>
      <c r="C69" s="2" t="s">
        <v>451</v>
      </c>
      <c r="D69" s="2" t="s">
        <v>24</v>
      </c>
      <c r="E69" s="2" t="s">
        <v>25</v>
      </c>
      <c r="F69" s="2" t="s">
        <v>26</v>
      </c>
      <c r="G69" s="2" t="s">
        <v>27</v>
      </c>
      <c r="H69" s="2" t="s">
        <v>28</v>
      </c>
      <c r="I69" s="2" t="s">
        <v>29</v>
      </c>
      <c r="J69" s="2" t="s">
        <v>154</v>
      </c>
      <c r="K69" s="2" t="s">
        <v>104</v>
      </c>
      <c r="L69" s="2" t="s">
        <v>33</v>
      </c>
      <c r="M69" s="2" t="s">
        <v>33</v>
      </c>
      <c r="N69" s="2" t="s">
        <v>452</v>
      </c>
      <c r="O69" s="2" t="s">
        <v>33</v>
      </c>
      <c r="P69" s="2" t="s">
        <v>453</v>
      </c>
      <c r="Q69" s="2" t="s">
        <v>25</v>
      </c>
      <c r="R69" s="2" t="s">
        <v>37</v>
      </c>
      <c r="S69" s="2" t="s">
        <v>454</v>
      </c>
      <c r="T69" s="2" t="s">
        <v>455</v>
      </c>
      <c r="U69" s="2" t="s">
        <v>456</v>
      </c>
      <c r="V69" s="2" t="s">
        <v>191</v>
      </c>
    </row>
    <row r="70">
      <c r="A70" s="2">
        <v>69</v>
      </c>
      <c r="B70" s="2" t="s">
        <v>110</v>
      </c>
      <c r="C70" s="2" t="s">
        <v>457</v>
      </c>
      <c r="D70" s="2" t="s">
        <v>43</v>
      </c>
      <c r="E70" s="2" t="s">
        <v>44</v>
      </c>
      <c r="F70" s="2" t="s">
        <v>26</v>
      </c>
      <c r="G70" s="2" t="s">
        <v>27</v>
      </c>
      <c r="H70" s="2" t="s">
        <v>45</v>
      </c>
      <c r="I70" s="2" t="s">
        <v>46</v>
      </c>
      <c r="J70" s="2" t="s">
        <v>47</v>
      </c>
      <c r="K70" s="2" t="s">
        <v>161</v>
      </c>
      <c r="L70" s="2" t="s">
        <v>458</v>
      </c>
      <c r="M70" s="2" t="s">
        <v>459</v>
      </c>
      <c r="N70" s="2" t="s">
        <v>279</v>
      </c>
      <c r="O70" s="2" t="s">
        <v>33</v>
      </c>
      <c r="P70" s="2" t="s">
        <v>460</v>
      </c>
      <c r="Q70" s="2" t="s">
        <v>25</v>
      </c>
      <c r="R70" s="2" t="s">
        <v>52</v>
      </c>
      <c r="S70" s="2" t="s">
        <v>249</v>
      </c>
      <c r="T70" s="2" t="s">
        <v>461</v>
      </c>
      <c r="U70" s="2" t="s">
        <v>462</v>
      </c>
      <c r="V70" s="2"/>
    </row>
    <row r="71">
      <c r="A71" s="2">
        <v>70</v>
      </c>
      <c r="B71" s="2" t="s">
        <v>239</v>
      </c>
      <c r="C71" s="2" t="s">
        <v>463</v>
      </c>
      <c r="D71" s="2" t="s">
        <v>24</v>
      </c>
      <c r="E71" s="2" t="s">
        <v>25</v>
      </c>
      <c r="F71" s="2" t="s">
        <v>72</v>
      </c>
      <c r="G71" s="2" t="s">
        <v>73</v>
      </c>
      <c r="H71" s="2" t="s">
        <v>74</v>
      </c>
      <c r="I71" s="2" t="s">
        <v>75</v>
      </c>
      <c r="J71" s="2" t="s">
        <v>30</v>
      </c>
      <c r="K71" s="2" t="s">
        <v>99</v>
      </c>
      <c r="L71" s="2" t="s">
        <v>33</v>
      </c>
      <c r="M71" s="2" t="s">
        <v>33</v>
      </c>
      <c r="N71" s="2" t="s">
        <v>33</v>
      </c>
      <c r="O71" s="2" t="s">
        <v>33</v>
      </c>
      <c r="P71" s="2" t="s">
        <v>76</v>
      </c>
      <c r="Q71" s="2" t="s">
        <v>25</v>
      </c>
      <c r="R71" s="2" t="s">
        <v>77</v>
      </c>
      <c r="S71" s="2" t="s">
        <v>464</v>
      </c>
      <c r="T71" s="2" t="s">
        <v>465</v>
      </c>
      <c r="U71" s="2" t="s">
        <v>466</v>
      </c>
      <c r="V71" s="2" t="s">
        <v>81</v>
      </c>
    </row>
    <row r="72">
      <c r="A72" s="2">
        <v>71</v>
      </c>
      <c r="B72" s="2" t="s">
        <v>41</v>
      </c>
      <c r="C72" s="2" t="s">
        <v>467</v>
      </c>
      <c r="D72" s="2" t="s">
        <v>24</v>
      </c>
      <c r="E72" s="2" t="s">
        <v>25</v>
      </c>
      <c r="F72" s="2" t="s">
        <v>72</v>
      </c>
      <c r="G72" s="2" t="s">
        <v>73</v>
      </c>
      <c r="H72" s="2" t="s">
        <v>74</v>
      </c>
      <c r="I72" s="2" t="s">
        <v>75</v>
      </c>
      <c r="J72" s="2" t="s">
        <v>30</v>
      </c>
      <c r="K72" s="2" t="s">
        <v>62</v>
      </c>
      <c r="L72" s="2" t="s">
        <v>33</v>
      </c>
      <c r="M72" s="2" t="s">
        <v>33</v>
      </c>
      <c r="N72" s="2" t="s">
        <v>33</v>
      </c>
      <c r="O72" s="2" t="s">
        <v>468</v>
      </c>
      <c r="P72" s="2" t="s">
        <v>469</v>
      </c>
      <c r="Q72" s="2" t="s">
        <v>25</v>
      </c>
      <c r="R72" s="2" t="s">
        <v>77</v>
      </c>
      <c r="S72" s="2" t="s">
        <v>107</v>
      </c>
      <c r="T72" s="2" t="s">
        <v>470</v>
      </c>
      <c r="U72" s="2" t="s">
        <v>471</v>
      </c>
      <c r="V72" s="2"/>
    </row>
    <row r="73">
      <c r="A73" s="2">
        <v>72</v>
      </c>
      <c r="B73" s="2" t="s">
        <v>239</v>
      </c>
      <c r="C73" s="2" t="s">
        <v>472</v>
      </c>
      <c r="D73" s="2" t="s">
        <v>24</v>
      </c>
      <c r="E73" s="2" t="s">
        <v>25</v>
      </c>
      <c r="F73" s="2" t="s">
        <v>26</v>
      </c>
      <c r="G73" s="2" t="s">
        <v>27</v>
      </c>
      <c r="H73" s="2" t="s">
        <v>28</v>
      </c>
      <c r="I73" s="2" t="s">
        <v>29</v>
      </c>
      <c r="J73" s="2" t="s">
        <v>30</v>
      </c>
      <c r="K73" s="2" t="s">
        <v>161</v>
      </c>
      <c r="L73" s="2" t="s">
        <v>33</v>
      </c>
      <c r="M73" s="2" t="s">
        <v>33</v>
      </c>
      <c r="N73" s="2" t="s">
        <v>34</v>
      </c>
      <c r="O73" s="2" t="s">
        <v>33</v>
      </c>
      <c r="P73" s="2" t="s">
        <v>76</v>
      </c>
      <c r="Q73" s="2" t="s">
        <v>25</v>
      </c>
      <c r="R73" s="2" t="s">
        <v>37</v>
      </c>
      <c r="S73" s="2" t="s">
        <v>473</v>
      </c>
      <c r="T73" s="2" t="s">
        <v>474</v>
      </c>
      <c r="U73" s="2" t="s">
        <v>475</v>
      </c>
      <c r="V73" s="2" t="s">
        <v>81</v>
      </c>
    </row>
    <row r="74">
      <c r="A74" s="2">
        <v>73</v>
      </c>
      <c r="B74" s="2" t="s">
        <v>476</v>
      </c>
      <c r="C74" s="2" t="s">
        <v>477</v>
      </c>
      <c r="D74" s="2" t="s">
        <v>24</v>
      </c>
      <c r="E74" s="2" t="s">
        <v>25</v>
      </c>
      <c r="F74" s="2" t="s">
        <v>26</v>
      </c>
      <c r="G74" s="2" t="s">
        <v>27</v>
      </c>
      <c r="H74" s="2" t="s">
        <v>28</v>
      </c>
      <c r="I74" s="2" t="s">
        <v>29</v>
      </c>
      <c r="J74" s="2" t="s">
        <v>30</v>
      </c>
      <c r="K74" s="2" t="s">
        <v>31</v>
      </c>
      <c r="L74" s="2" t="s">
        <v>33</v>
      </c>
      <c r="M74" s="2" t="s">
        <v>33</v>
      </c>
      <c r="N74" s="2" t="s">
        <v>387</v>
      </c>
      <c r="O74" s="2" t="s">
        <v>33</v>
      </c>
      <c r="P74" s="2" t="s">
        <v>478</v>
      </c>
      <c r="Q74" s="2" t="s">
        <v>25</v>
      </c>
      <c r="R74" s="2" t="s">
        <v>37</v>
      </c>
      <c r="S74" s="2" t="s">
        <v>479</v>
      </c>
      <c r="T74" s="2" t="s">
        <v>480</v>
      </c>
      <c r="U74" s="2" t="s">
        <v>481</v>
      </c>
      <c r="V74" s="2"/>
    </row>
    <row r="75">
      <c r="A75" s="2">
        <v>74</v>
      </c>
      <c r="B75" s="2" t="s">
        <v>82</v>
      </c>
      <c r="C75" s="2" t="s">
        <v>482</v>
      </c>
      <c r="D75" s="2" t="s">
        <v>43</v>
      </c>
      <c r="E75" s="2" t="s">
        <v>44</v>
      </c>
      <c r="F75" s="2" t="s">
        <v>26</v>
      </c>
      <c r="G75" s="2" t="s">
        <v>27</v>
      </c>
      <c r="H75" s="2" t="s">
        <v>45</v>
      </c>
      <c r="I75" s="2" t="s">
        <v>29</v>
      </c>
      <c r="J75" s="2" t="s">
        <v>112</v>
      </c>
      <c r="K75" s="2" t="s">
        <v>104</v>
      </c>
      <c r="L75" s="2" t="s">
        <v>33</v>
      </c>
      <c r="M75" s="2" t="s">
        <v>483</v>
      </c>
      <c r="N75" s="2" t="s">
        <v>64</v>
      </c>
      <c r="O75" s="2" t="s">
        <v>33</v>
      </c>
      <c r="P75" s="2" t="s">
        <v>484</v>
      </c>
      <c r="Q75" s="2" t="s">
        <v>25</v>
      </c>
      <c r="R75" s="2" t="s">
        <v>52</v>
      </c>
      <c r="S75" s="2" t="s">
        <v>172</v>
      </c>
      <c r="T75" s="2" t="s">
        <v>485</v>
      </c>
      <c r="U75" s="2" t="s">
        <v>486</v>
      </c>
      <c r="V75" s="2" t="s">
        <v>81</v>
      </c>
    </row>
    <row r="76">
      <c r="A76" s="2">
        <v>75</v>
      </c>
      <c r="B76" s="2" t="s">
        <v>82</v>
      </c>
      <c r="C76" s="2" t="s">
        <v>487</v>
      </c>
      <c r="D76" s="2" t="s">
        <v>24</v>
      </c>
      <c r="E76" s="2" t="s">
        <v>25</v>
      </c>
      <c r="F76" s="2" t="s">
        <v>26</v>
      </c>
      <c r="G76" s="2" t="s">
        <v>27</v>
      </c>
      <c r="H76" s="2" t="s">
        <v>28</v>
      </c>
      <c r="I76" s="2" t="s">
        <v>46</v>
      </c>
      <c r="J76" s="2" t="s">
        <v>30</v>
      </c>
      <c r="K76" s="2" t="s">
        <v>104</v>
      </c>
      <c r="L76" s="2" t="s">
        <v>33</v>
      </c>
      <c r="M76" s="2" t="s">
        <v>488</v>
      </c>
      <c r="N76" s="2" t="s">
        <v>489</v>
      </c>
      <c r="O76" s="2" t="s">
        <v>33</v>
      </c>
      <c r="P76" s="2" t="s">
        <v>490</v>
      </c>
      <c r="Q76" s="2" t="s">
        <v>25</v>
      </c>
      <c r="R76" s="2" t="s">
        <v>37</v>
      </c>
      <c r="S76" s="2" t="s">
        <v>107</v>
      </c>
      <c r="T76" s="2" t="s">
        <v>491</v>
      </c>
      <c r="U76" s="2" t="s">
        <v>492</v>
      </c>
      <c r="V76" s="2"/>
    </row>
    <row r="77">
      <c r="A77" s="2">
        <v>76</v>
      </c>
      <c r="B77" s="2" t="s">
        <v>82</v>
      </c>
      <c r="C77" s="2" t="s">
        <v>493</v>
      </c>
      <c r="D77" s="2" t="s">
        <v>24</v>
      </c>
      <c r="E77" s="2" t="s">
        <v>25</v>
      </c>
      <c r="F77" s="2" t="s">
        <v>72</v>
      </c>
      <c r="G77" s="2" t="s">
        <v>73</v>
      </c>
      <c r="H77" s="2" t="s">
        <v>74</v>
      </c>
      <c r="I77" s="2" t="s">
        <v>75</v>
      </c>
      <c r="J77" s="2" t="s">
        <v>30</v>
      </c>
      <c r="K77" s="2" t="s">
        <v>62</v>
      </c>
      <c r="L77" s="2" t="s">
        <v>33</v>
      </c>
      <c r="M77" s="2" t="s">
        <v>33</v>
      </c>
      <c r="N77" s="2" t="s">
        <v>33</v>
      </c>
      <c r="O77" s="2" t="s">
        <v>33</v>
      </c>
      <c r="P77" s="2" t="s">
        <v>494</v>
      </c>
      <c r="Q77" s="2" t="s">
        <v>25</v>
      </c>
      <c r="R77" s="2" t="s">
        <v>77</v>
      </c>
      <c r="S77" s="2" t="s">
        <v>418</v>
      </c>
      <c r="T77" s="2" t="s">
        <v>495</v>
      </c>
      <c r="U77" s="2" t="s">
        <v>496</v>
      </c>
      <c r="V77" s="2"/>
    </row>
    <row r="78">
      <c r="A78" s="2">
        <v>77</v>
      </c>
      <c r="B78" s="2" t="s">
        <v>110</v>
      </c>
      <c r="C78" s="2" t="s">
        <v>497</v>
      </c>
      <c r="D78" s="2" t="s">
        <v>24</v>
      </c>
      <c r="E78" s="2" t="s">
        <v>25</v>
      </c>
      <c r="F78" s="2" t="s">
        <v>58</v>
      </c>
      <c r="G78" s="2" t="s">
        <v>59</v>
      </c>
      <c r="H78" s="2" t="s">
        <v>60</v>
      </c>
      <c r="I78" s="2" t="s">
        <v>29</v>
      </c>
      <c r="J78" s="2" t="s">
        <v>61</v>
      </c>
      <c r="K78" s="2" t="s">
        <v>62</v>
      </c>
      <c r="L78" s="2" t="s">
        <v>33</v>
      </c>
      <c r="M78" s="2" t="s">
        <v>33</v>
      </c>
      <c r="N78" s="2" t="s">
        <v>498</v>
      </c>
      <c r="O78" s="2" t="s">
        <v>468</v>
      </c>
      <c r="P78" s="2" t="s">
        <v>76</v>
      </c>
      <c r="Q78" s="2" t="s">
        <v>25</v>
      </c>
      <c r="R78" s="2" t="s">
        <v>66</v>
      </c>
      <c r="S78" s="2" t="s">
        <v>249</v>
      </c>
      <c r="T78" s="2" t="s">
        <v>499</v>
      </c>
      <c r="U78" s="2" t="s">
        <v>500</v>
      </c>
      <c r="V78" s="2"/>
    </row>
    <row r="79">
      <c r="A79" s="2">
        <v>78</v>
      </c>
      <c r="B79" s="2" t="s">
        <v>110</v>
      </c>
      <c r="C79" s="2" t="s">
        <v>501</v>
      </c>
      <c r="D79" s="2" t="s">
        <v>24</v>
      </c>
      <c r="E79" s="2" t="s">
        <v>25</v>
      </c>
      <c r="F79" s="2" t="s">
        <v>58</v>
      </c>
      <c r="G79" s="2" t="s">
        <v>59</v>
      </c>
      <c r="H79" s="2" t="s">
        <v>60</v>
      </c>
      <c r="I79" s="2" t="s">
        <v>29</v>
      </c>
      <c r="J79" s="2" t="s">
        <v>61</v>
      </c>
      <c r="K79" s="2" t="s">
        <v>104</v>
      </c>
      <c r="L79" s="2" t="s">
        <v>33</v>
      </c>
      <c r="M79" s="2" t="s">
        <v>178</v>
      </c>
      <c r="N79" s="2" t="s">
        <v>34</v>
      </c>
      <c r="O79" s="2" t="s">
        <v>33</v>
      </c>
      <c r="P79" s="2" t="s">
        <v>76</v>
      </c>
      <c r="Q79" s="2" t="s">
        <v>25</v>
      </c>
      <c r="R79" s="2" t="s">
        <v>66</v>
      </c>
      <c r="S79" s="2" t="s">
        <v>502</v>
      </c>
      <c r="T79" s="2" t="s">
        <v>503</v>
      </c>
      <c r="U79" s="2" t="s">
        <v>504</v>
      </c>
      <c r="V79" s="2"/>
    </row>
    <row r="80">
      <c r="A80" s="2">
        <v>79</v>
      </c>
      <c r="B80" s="2" t="s">
        <v>82</v>
      </c>
      <c r="C80" s="2" t="s">
        <v>505</v>
      </c>
      <c r="D80" s="2" t="s">
        <v>24</v>
      </c>
      <c r="E80" s="2" t="s">
        <v>25</v>
      </c>
      <c r="F80" s="2" t="s">
        <v>26</v>
      </c>
      <c r="G80" s="2" t="s">
        <v>27</v>
      </c>
      <c r="H80" s="2" t="s">
        <v>28</v>
      </c>
      <c r="I80" s="2" t="s">
        <v>29</v>
      </c>
      <c r="J80" s="2" t="s">
        <v>30</v>
      </c>
      <c r="K80" s="2" t="s">
        <v>104</v>
      </c>
      <c r="L80" s="2" t="s">
        <v>33</v>
      </c>
      <c r="M80" s="2" t="s">
        <v>33</v>
      </c>
      <c r="N80" s="2" t="s">
        <v>34</v>
      </c>
      <c r="O80" s="2" t="s">
        <v>33</v>
      </c>
      <c r="P80" s="2" t="s">
        <v>506</v>
      </c>
      <c r="Q80" s="2" t="s">
        <v>25</v>
      </c>
      <c r="R80" s="2" t="s">
        <v>37</v>
      </c>
      <c r="S80" s="2" t="s">
        <v>107</v>
      </c>
      <c r="T80" s="2" t="s">
        <v>507</v>
      </c>
      <c r="U80" s="2" t="s">
        <v>508</v>
      </c>
      <c r="V80" s="2"/>
    </row>
    <row r="81">
      <c r="A81" s="2">
        <v>80</v>
      </c>
      <c r="B81" s="2" t="s">
        <v>41</v>
      </c>
      <c r="C81" s="2" t="s">
        <v>509</v>
      </c>
      <c r="D81" s="2" t="s">
        <v>24</v>
      </c>
      <c r="E81" s="2" t="s">
        <v>25</v>
      </c>
      <c r="F81" s="2" t="s">
        <v>72</v>
      </c>
      <c r="G81" s="2" t="s">
        <v>73</v>
      </c>
      <c r="H81" s="2" t="s">
        <v>74</v>
      </c>
      <c r="I81" s="2" t="s">
        <v>75</v>
      </c>
      <c r="J81" s="2" t="s">
        <v>30</v>
      </c>
      <c r="K81" s="2" t="s">
        <v>62</v>
      </c>
      <c r="L81" s="2" t="s">
        <v>510</v>
      </c>
      <c r="M81" s="2" t="s">
        <v>33</v>
      </c>
      <c r="N81" s="2" t="s">
        <v>126</v>
      </c>
      <c r="O81" s="2" t="s">
        <v>33</v>
      </c>
      <c r="P81" s="2" t="s">
        <v>511</v>
      </c>
      <c r="Q81" s="2" t="s">
        <v>25</v>
      </c>
      <c r="R81" s="2" t="s">
        <v>77</v>
      </c>
      <c r="S81" s="2" t="s">
        <v>344</v>
      </c>
      <c r="T81" s="2" t="s">
        <v>512</v>
      </c>
      <c r="U81" s="2" t="s">
        <v>513</v>
      </c>
      <c r="V81" s="2" t="s">
        <v>191</v>
      </c>
    </row>
    <row r="82">
      <c r="A82" s="2">
        <v>81</v>
      </c>
      <c r="B82" s="2" t="s">
        <v>41</v>
      </c>
      <c r="C82" s="2" t="s">
        <v>514</v>
      </c>
      <c r="D82" s="2" t="s">
        <v>24</v>
      </c>
      <c r="E82" s="2" t="s">
        <v>25</v>
      </c>
      <c r="F82" s="2" t="s">
        <v>72</v>
      </c>
      <c r="G82" s="2" t="s">
        <v>73</v>
      </c>
      <c r="H82" s="2" t="s">
        <v>302</v>
      </c>
      <c r="I82" s="2" t="s">
        <v>176</v>
      </c>
      <c r="J82" s="2" t="s">
        <v>84</v>
      </c>
      <c r="K82" s="2" t="s">
        <v>62</v>
      </c>
      <c r="L82" s="2" t="s">
        <v>33</v>
      </c>
      <c r="M82" s="2" t="s">
        <v>63</v>
      </c>
      <c r="N82" s="2" t="s">
        <v>515</v>
      </c>
      <c r="O82" s="2" t="s">
        <v>328</v>
      </c>
      <c r="P82" s="2" t="s">
        <v>516</v>
      </c>
      <c r="Q82" s="2" t="s">
        <v>181</v>
      </c>
      <c r="R82" s="2" t="s">
        <v>305</v>
      </c>
      <c r="S82" s="2" t="s">
        <v>253</v>
      </c>
      <c r="T82" s="2" t="s">
        <v>517</v>
      </c>
      <c r="U82" s="2" t="s">
        <v>518</v>
      </c>
      <c r="V82" s="2"/>
    </row>
    <row r="83">
      <c r="A83" s="2">
        <v>82</v>
      </c>
      <c r="B83" s="2" t="s">
        <v>110</v>
      </c>
      <c r="C83" s="2" t="s">
        <v>519</v>
      </c>
      <c r="D83" s="2" t="s">
        <v>43</v>
      </c>
      <c r="E83" s="2" t="s">
        <v>44</v>
      </c>
      <c r="F83" s="2" t="s">
        <v>58</v>
      </c>
      <c r="G83" s="2" t="s">
        <v>59</v>
      </c>
      <c r="H83" s="2" t="s">
        <v>60</v>
      </c>
      <c r="I83" s="2" t="s">
        <v>29</v>
      </c>
      <c r="J83" s="2" t="s">
        <v>84</v>
      </c>
      <c r="K83" s="2" t="s">
        <v>48</v>
      </c>
      <c r="L83" s="2" t="s">
        <v>33</v>
      </c>
      <c r="M83" s="2" t="s">
        <v>33</v>
      </c>
      <c r="N83" s="2" t="s">
        <v>34</v>
      </c>
      <c r="O83" s="2" t="s">
        <v>33</v>
      </c>
      <c r="P83" s="2" t="s">
        <v>76</v>
      </c>
      <c r="Q83" s="2" t="s">
        <v>25</v>
      </c>
      <c r="R83" s="2" t="s">
        <v>66</v>
      </c>
      <c r="S83" s="2" t="s">
        <v>249</v>
      </c>
      <c r="T83" s="2" t="s">
        <v>520</v>
      </c>
      <c r="U83" s="2" t="s">
        <v>521</v>
      </c>
      <c r="V83" s="2"/>
    </row>
    <row r="84">
      <c r="A84" s="2">
        <v>83</v>
      </c>
      <c r="B84" s="2" t="s">
        <v>117</v>
      </c>
      <c r="C84" s="2" t="s">
        <v>522</v>
      </c>
      <c r="D84" s="2" t="s">
        <v>24</v>
      </c>
      <c r="E84" s="2" t="s">
        <v>25</v>
      </c>
      <c r="F84" s="2" t="s">
        <v>26</v>
      </c>
      <c r="G84" s="2" t="s">
        <v>27</v>
      </c>
      <c r="H84" s="2" t="s">
        <v>28</v>
      </c>
      <c r="I84" s="2" t="s">
        <v>46</v>
      </c>
      <c r="J84" s="2" t="s">
        <v>30</v>
      </c>
      <c r="K84" s="2" t="s">
        <v>48</v>
      </c>
      <c r="L84" s="2" t="s">
        <v>33</v>
      </c>
      <c r="M84" s="2" t="s">
        <v>488</v>
      </c>
      <c r="N84" s="2" t="s">
        <v>217</v>
      </c>
      <c r="O84" s="2" t="s">
        <v>33</v>
      </c>
      <c r="P84" s="2" t="s">
        <v>523</v>
      </c>
      <c r="Q84" s="2" t="s">
        <v>25</v>
      </c>
      <c r="R84" s="2" t="s">
        <v>37</v>
      </c>
      <c r="S84" s="2" t="s">
        <v>231</v>
      </c>
      <c r="T84" s="2" t="s">
        <v>524</v>
      </c>
      <c r="U84" s="2" t="s">
        <v>525</v>
      </c>
      <c r="V84" s="2"/>
    </row>
    <row r="85">
      <c r="A85" s="2">
        <v>84</v>
      </c>
      <c r="B85" s="2" t="s">
        <v>239</v>
      </c>
      <c r="C85" s="2" t="s">
        <v>526</v>
      </c>
      <c r="D85" s="2" t="s">
        <v>24</v>
      </c>
      <c r="E85" s="2" t="s">
        <v>25</v>
      </c>
      <c r="F85" s="2" t="s">
        <v>58</v>
      </c>
      <c r="G85" s="2" t="s">
        <v>59</v>
      </c>
      <c r="H85" s="2" t="s">
        <v>60</v>
      </c>
      <c r="I85" s="2" t="s">
        <v>29</v>
      </c>
      <c r="J85" s="2" t="s">
        <v>527</v>
      </c>
      <c r="K85" s="2" t="s">
        <v>104</v>
      </c>
      <c r="L85" s="2" t="s">
        <v>33</v>
      </c>
      <c r="M85" s="2" t="s">
        <v>63</v>
      </c>
      <c r="N85" s="2" t="s">
        <v>528</v>
      </c>
      <c r="O85" s="2" t="s">
        <v>33</v>
      </c>
      <c r="P85" s="2" t="s">
        <v>529</v>
      </c>
      <c r="Q85" s="2" t="s">
        <v>25</v>
      </c>
      <c r="R85" s="2" t="s">
        <v>66</v>
      </c>
      <c r="S85" s="2" t="s">
        <v>128</v>
      </c>
      <c r="T85" s="2" t="s">
        <v>530</v>
      </c>
      <c r="U85" s="2" t="s">
        <v>531</v>
      </c>
      <c r="V85" s="2" t="s">
        <v>197</v>
      </c>
    </row>
    <row r="86">
      <c r="A86" s="2">
        <v>85</v>
      </c>
      <c r="B86" s="2" t="s">
        <v>110</v>
      </c>
      <c r="C86" s="2" t="s">
        <v>532</v>
      </c>
      <c r="D86" s="2" t="s">
        <v>24</v>
      </c>
      <c r="E86" s="2" t="s">
        <v>25</v>
      </c>
      <c r="F86" s="2" t="s">
        <v>26</v>
      </c>
      <c r="G86" s="2" t="s">
        <v>27</v>
      </c>
      <c r="H86" s="2" t="s">
        <v>28</v>
      </c>
      <c r="I86" s="2" t="s">
        <v>46</v>
      </c>
      <c r="J86" s="2" t="s">
        <v>30</v>
      </c>
      <c r="K86" s="2" t="s">
        <v>104</v>
      </c>
      <c r="L86" s="2" t="s">
        <v>533</v>
      </c>
      <c r="M86" s="2" t="s">
        <v>33</v>
      </c>
      <c r="N86" s="2" t="s">
        <v>534</v>
      </c>
      <c r="O86" s="2" t="s">
        <v>35</v>
      </c>
      <c r="P86" s="2" t="s">
        <v>535</v>
      </c>
      <c r="Q86" s="2" t="s">
        <v>25</v>
      </c>
      <c r="R86" s="2" t="s">
        <v>37</v>
      </c>
      <c r="S86" s="2" t="s">
        <v>536</v>
      </c>
      <c r="T86" s="2" t="s">
        <v>537</v>
      </c>
      <c r="U86" s="2" t="s">
        <v>538</v>
      </c>
      <c r="V86" s="2"/>
    </row>
    <row r="87">
      <c r="A87" s="2">
        <v>86</v>
      </c>
      <c r="B87" s="2" t="s">
        <v>22</v>
      </c>
      <c r="C87" s="2" t="s">
        <v>539</v>
      </c>
      <c r="D87" s="2" t="s">
        <v>24</v>
      </c>
      <c r="E87" s="2" t="s">
        <v>25</v>
      </c>
      <c r="F87" s="2" t="s">
        <v>72</v>
      </c>
      <c r="G87" s="2" t="s">
        <v>73</v>
      </c>
      <c r="H87" s="2" t="s">
        <v>74</v>
      </c>
      <c r="I87" s="2" t="s">
        <v>75</v>
      </c>
      <c r="J87" s="2" t="s">
        <v>30</v>
      </c>
      <c r="K87" s="2" t="s">
        <v>62</v>
      </c>
      <c r="L87" s="2" t="s">
        <v>33</v>
      </c>
      <c r="M87" s="2" t="s">
        <v>33</v>
      </c>
      <c r="N87" s="2" t="s">
        <v>33</v>
      </c>
      <c r="O87" s="2" t="s">
        <v>33</v>
      </c>
      <c r="P87" s="2" t="s">
        <v>76</v>
      </c>
      <c r="Q87" s="2" t="s">
        <v>25</v>
      </c>
      <c r="R87" s="2" t="s">
        <v>77</v>
      </c>
      <c r="S87" s="2" t="s">
        <v>540</v>
      </c>
      <c r="T87" s="2" t="s">
        <v>541</v>
      </c>
      <c r="U87" s="2" t="s">
        <v>542</v>
      </c>
      <c r="V87" s="2" t="s">
        <v>81</v>
      </c>
    </row>
    <row r="88">
      <c r="A88" s="2">
        <v>87</v>
      </c>
      <c r="B88" s="2" t="s">
        <v>41</v>
      </c>
      <c r="C88" s="2" t="s">
        <v>543</v>
      </c>
      <c r="D88" s="2" t="s">
        <v>24</v>
      </c>
      <c r="E88" s="2" t="s">
        <v>25</v>
      </c>
      <c r="F88" s="2" t="s">
        <v>72</v>
      </c>
      <c r="G88" s="2" t="s">
        <v>73</v>
      </c>
      <c r="H88" s="2" t="s">
        <v>302</v>
      </c>
      <c r="I88" s="2" t="s">
        <v>176</v>
      </c>
      <c r="J88" s="2" t="s">
        <v>112</v>
      </c>
      <c r="K88" s="2" t="s">
        <v>161</v>
      </c>
      <c r="L88" s="2" t="s">
        <v>33</v>
      </c>
      <c r="M88" s="2" t="s">
        <v>544</v>
      </c>
      <c r="N88" s="2" t="s">
        <v>545</v>
      </c>
      <c r="O88" s="2" t="s">
        <v>33</v>
      </c>
      <c r="P88" s="2" t="s">
        <v>546</v>
      </c>
      <c r="Q88" s="2" t="s">
        <v>181</v>
      </c>
      <c r="R88" s="2" t="s">
        <v>305</v>
      </c>
      <c r="S88" s="2" t="s">
        <v>547</v>
      </c>
      <c r="T88" s="2" t="s">
        <v>548</v>
      </c>
      <c r="U88" s="2" t="s">
        <v>549</v>
      </c>
      <c r="V88" s="2"/>
    </row>
    <row r="89">
      <c r="A89" s="2">
        <v>88</v>
      </c>
      <c r="B89" s="2" t="s">
        <v>82</v>
      </c>
      <c r="C89" s="2" t="s">
        <v>550</v>
      </c>
      <c r="D89" s="2" t="s">
        <v>24</v>
      </c>
      <c r="E89" s="2" t="s">
        <v>25</v>
      </c>
      <c r="F89" s="2" t="s">
        <v>58</v>
      </c>
      <c r="G89" s="2" t="s">
        <v>59</v>
      </c>
      <c r="H89" s="2" t="s">
        <v>60</v>
      </c>
      <c r="I89" s="2" t="s">
        <v>29</v>
      </c>
      <c r="J89" s="2" t="s">
        <v>112</v>
      </c>
      <c r="K89" s="2" t="s">
        <v>104</v>
      </c>
      <c r="L89" s="2" t="s">
        <v>33</v>
      </c>
      <c r="M89" s="2" t="s">
        <v>33</v>
      </c>
      <c r="N89" s="2" t="s">
        <v>551</v>
      </c>
      <c r="O89" s="2" t="s">
        <v>33</v>
      </c>
      <c r="P89" s="2" t="s">
        <v>552</v>
      </c>
      <c r="Q89" s="2" t="s">
        <v>25</v>
      </c>
      <c r="R89" s="2" t="s">
        <v>66</v>
      </c>
      <c r="S89" s="2" t="s">
        <v>78</v>
      </c>
      <c r="T89" s="2" t="s">
        <v>553</v>
      </c>
      <c r="U89" s="2" t="s">
        <v>554</v>
      </c>
      <c r="V89" s="2" t="s">
        <v>81</v>
      </c>
    </row>
    <row r="90">
      <c r="A90" s="2">
        <v>89</v>
      </c>
      <c r="B90" s="2" t="s">
        <v>56</v>
      </c>
      <c r="C90" s="2" t="s">
        <v>555</v>
      </c>
      <c r="D90" s="2" t="s">
        <v>24</v>
      </c>
      <c r="E90" s="2" t="s">
        <v>25</v>
      </c>
      <c r="F90" s="2" t="s">
        <v>58</v>
      </c>
      <c r="G90" s="2" t="s">
        <v>59</v>
      </c>
      <c r="H90" s="2" t="s">
        <v>60</v>
      </c>
      <c r="I90" s="2" t="s">
        <v>29</v>
      </c>
      <c r="J90" s="2" t="s">
        <v>112</v>
      </c>
      <c r="K90" s="2" t="s">
        <v>161</v>
      </c>
      <c r="L90" s="2" t="s">
        <v>33</v>
      </c>
      <c r="M90" s="2" t="s">
        <v>63</v>
      </c>
      <c r="N90" s="2" t="s">
        <v>126</v>
      </c>
      <c r="O90" s="2" t="s">
        <v>218</v>
      </c>
      <c r="P90" s="2" t="s">
        <v>76</v>
      </c>
      <c r="Q90" s="2" t="s">
        <v>25</v>
      </c>
      <c r="R90" s="2" t="s">
        <v>66</v>
      </c>
      <c r="S90" s="2" t="s">
        <v>556</v>
      </c>
      <c r="T90" s="2" t="s">
        <v>557</v>
      </c>
      <c r="U90" s="2" t="s">
        <v>558</v>
      </c>
      <c r="V90" s="2" t="s">
        <v>81</v>
      </c>
    </row>
    <row r="91">
      <c r="A91" s="2">
        <v>90</v>
      </c>
      <c r="B91" s="2" t="s">
        <v>192</v>
      </c>
      <c r="C91" s="2" t="s">
        <v>559</v>
      </c>
      <c r="D91" s="2" t="s">
        <v>24</v>
      </c>
      <c r="E91" s="2" t="s">
        <v>25</v>
      </c>
      <c r="F91" s="2" t="s">
        <v>72</v>
      </c>
      <c r="G91" s="2" t="s">
        <v>73</v>
      </c>
      <c r="H91" s="2" t="s">
        <v>74</v>
      </c>
      <c r="I91" s="2" t="s">
        <v>75</v>
      </c>
      <c r="J91" s="2" t="s">
        <v>30</v>
      </c>
      <c r="K91" s="2" t="s">
        <v>62</v>
      </c>
      <c r="L91" s="2" t="s">
        <v>33</v>
      </c>
      <c r="M91" s="2" t="s">
        <v>33</v>
      </c>
      <c r="N91" s="2" t="s">
        <v>33</v>
      </c>
      <c r="O91" s="2" t="s">
        <v>33</v>
      </c>
      <c r="P91" s="2" t="s">
        <v>560</v>
      </c>
      <c r="Q91" s="2" t="s">
        <v>25</v>
      </c>
      <c r="R91" s="2" t="s">
        <v>77</v>
      </c>
      <c r="S91" s="2" t="s">
        <v>418</v>
      </c>
      <c r="T91" s="2" t="s">
        <v>561</v>
      </c>
      <c r="U91" s="2" t="s">
        <v>562</v>
      </c>
      <c r="V91" s="2" t="s">
        <v>563</v>
      </c>
    </row>
    <row r="92">
      <c r="A92" s="2">
        <v>91</v>
      </c>
      <c r="B92" s="2" t="s">
        <v>117</v>
      </c>
      <c r="C92" s="2" t="s">
        <v>564</v>
      </c>
      <c r="D92" s="2" t="s">
        <v>43</v>
      </c>
      <c r="E92" s="2" t="s">
        <v>44</v>
      </c>
      <c r="F92" s="2" t="s">
        <v>26</v>
      </c>
      <c r="G92" s="2" t="s">
        <v>27</v>
      </c>
      <c r="H92" s="2" t="s">
        <v>28</v>
      </c>
      <c r="I92" s="2" t="s">
        <v>46</v>
      </c>
      <c r="J92" s="2" t="s">
        <v>30</v>
      </c>
      <c r="K92" s="2" t="s">
        <v>104</v>
      </c>
      <c r="L92" s="2" t="s">
        <v>215</v>
      </c>
      <c r="M92" s="2" t="s">
        <v>565</v>
      </c>
      <c r="N92" s="2" t="s">
        <v>566</v>
      </c>
      <c r="O92" s="2" t="s">
        <v>33</v>
      </c>
      <c r="P92" s="2" t="s">
        <v>76</v>
      </c>
      <c r="Q92" s="2" t="s">
        <v>25</v>
      </c>
      <c r="R92" s="2" t="s">
        <v>37</v>
      </c>
      <c r="S92" s="2" t="s">
        <v>567</v>
      </c>
      <c r="T92" s="2" t="s">
        <v>568</v>
      </c>
      <c r="U92" s="2" t="s">
        <v>569</v>
      </c>
      <c r="V92" s="2" t="s">
        <v>145</v>
      </c>
    </row>
    <row r="93">
      <c r="A93" s="2">
        <v>92</v>
      </c>
      <c r="B93" s="2" t="s">
        <v>570</v>
      </c>
      <c r="C93" s="2" t="s">
        <v>571</v>
      </c>
      <c r="D93" s="2" t="s">
        <v>572</v>
      </c>
      <c r="E93" s="2" t="s">
        <v>25</v>
      </c>
      <c r="F93" s="2" t="s">
        <v>26</v>
      </c>
      <c r="G93" s="2" t="s">
        <v>27</v>
      </c>
      <c r="H93" s="2" t="s">
        <v>45</v>
      </c>
      <c r="I93" s="2" t="s">
        <v>29</v>
      </c>
      <c r="J93" s="2" t="s">
        <v>47</v>
      </c>
      <c r="K93" s="2" t="s">
        <v>104</v>
      </c>
      <c r="L93" s="2" t="s">
        <v>573</v>
      </c>
      <c r="M93" s="2" t="s">
        <v>63</v>
      </c>
      <c r="N93" s="2" t="s">
        <v>574</v>
      </c>
      <c r="O93" s="2" t="s">
        <v>35</v>
      </c>
      <c r="P93" s="2" t="s">
        <v>575</v>
      </c>
      <c r="Q93" s="2" t="s">
        <v>25</v>
      </c>
      <c r="R93" s="2" t="s">
        <v>52</v>
      </c>
      <c r="S93" s="2" t="s">
        <v>576</v>
      </c>
      <c r="T93" s="2" t="s">
        <v>577</v>
      </c>
      <c r="U93" s="2" t="s">
        <v>578</v>
      </c>
      <c r="V93" s="2"/>
    </row>
    <row r="94">
      <c r="A94" s="2">
        <v>93</v>
      </c>
      <c r="B94" s="2" t="s">
        <v>239</v>
      </c>
      <c r="C94" s="2" t="s">
        <v>579</v>
      </c>
      <c r="D94" s="2" t="s">
        <v>572</v>
      </c>
      <c r="E94" s="2" t="s">
        <v>25</v>
      </c>
      <c r="F94" s="2" t="s">
        <v>26</v>
      </c>
      <c r="G94" s="2" t="s">
        <v>73</v>
      </c>
      <c r="H94" s="2" t="s">
        <v>45</v>
      </c>
      <c r="I94" s="2" t="s">
        <v>29</v>
      </c>
      <c r="J94" s="2" t="s">
        <v>580</v>
      </c>
      <c r="K94" s="2" t="s">
        <v>62</v>
      </c>
      <c r="L94" s="2" t="s">
        <v>33</v>
      </c>
      <c r="M94" s="2" t="s">
        <v>49</v>
      </c>
      <c r="N94" s="2" t="s">
        <v>581</v>
      </c>
      <c r="O94" s="2" t="s">
        <v>33</v>
      </c>
      <c r="P94" s="2" t="s">
        <v>76</v>
      </c>
      <c r="Q94" s="2" t="s">
        <v>25</v>
      </c>
      <c r="R94" s="2" t="s">
        <v>52</v>
      </c>
      <c r="S94" s="2" t="s">
        <v>582</v>
      </c>
      <c r="T94" s="2" t="s">
        <v>583</v>
      </c>
      <c r="U94" s="2" t="s">
        <v>584</v>
      </c>
      <c r="V94" s="2" t="s">
        <v>197</v>
      </c>
    </row>
    <row r="95">
      <c r="A95" s="2">
        <v>94</v>
      </c>
      <c r="B95" s="2" t="s">
        <v>239</v>
      </c>
      <c r="C95" s="2" t="s">
        <v>585</v>
      </c>
      <c r="D95" s="2" t="s">
        <v>572</v>
      </c>
      <c r="E95" s="2" t="s">
        <v>25</v>
      </c>
      <c r="F95" s="2" t="s">
        <v>26</v>
      </c>
      <c r="G95" s="2" t="s">
        <v>73</v>
      </c>
      <c r="H95" s="2" t="s">
        <v>45</v>
      </c>
      <c r="I95" s="2" t="s">
        <v>46</v>
      </c>
      <c r="J95" s="2" t="s">
        <v>112</v>
      </c>
      <c r="K95" s="2" t="s">
        <v>48</v>
      </c>
      <c r="L95" s="2" t="s">
        <v>139</v>
      </c>
      <c r="M95" s="2" t="s">
        <v>216</v>
      </c>
      <c r="N95" s="2" t="s">
        <v>217</v>
      </c>
      <c r="O95" s="2" t="s">
        <v>33</v>
      </c>
      <c r="P95" s="2" t="s">
        <v>76</v>
      </c>
      <c r="Q95" s="2" t="s">
        <v>25</v>
      </c>
      <c r="R95" s="2" t="s">
        <v>52</v>
      </c>
      <c r="S95" s="2" t="s">
        <v>586</v>
      </c>
      <c r="T95" s="2" t="s">
        <v>587</v>
      </c>
      <c r="U95" s="2" t="s">
        <v>588</v>
      </c>
      <c r="V95" s="2" t="s">
        <v>81</v>
      </c>
    </row>
    <row r="96">
      <c r="A96" s="2">
        <v>95</v>
      </c>
      <c r="B96" s="2" t="s">
        <v>41</v>
      </c>
      <c r="C96" s="2" t="s">
        <v>589</v>
      </c>
      <c r="D96" s="2" t="s">
        <v>572</v>
      </c>
      <c r="E96" s="2" t="s">
        <v>25</v>
      </c>
      <c r="F96" s="2" t="s">
        <v>26</v>
      </c>
      <c r="G96" s="2" t="s">
        <v>27</v>
      </c>
      <c r="H96" s="2" t="s">
        <v>45</v>
      </c>
      <c r="I96" s="2" t="s">
        <v>46</v>
      </c>
      <c r="J96" s="2" t="s">
        <v>84</v>
      </c>
      <c r="K96" s="2" t="s">
        <v>62</v>
      </c>
      <c r="L96" s="2" t="s">
        <v>33</v>
      </c>
      <c r="M96" s="2" t="s">
        <v>590</v>
      </c>
      <c r="N96" s="2" t="s">
        <v>591</v>
      </c>
      <c r="O96" s="2" t="s">
        <v>468</v>
      </c>
      <c r="P96" s="2" t="s">
        <v>592</v>
      </c>
      <c r="Q96" s="2" t="s">
        <v>25</v>
      </c>
      <c r="R96" s="2" t="s">
        <v>52</v>
      </c>
      <c r="S96" s="2" t="s">
        <v>593</v>
      </c>
      <c r="T96" s="2" t="s">
        <v>594</v>
      </c>
      <c r="U96" s="2" t="s">
        <v>595</v>
      </c>
      <c r="V96" s="2" t="s">
        <v>81</v>
      </c>
    </row>
    <row r="97">
      <c r="A97" s="2">
        <v>96</v>
      </c>
      <c r="B97" s="2" t="s">
        <v>22</v>
      </c>
      <c r="C97" s="2" t="s">
        <v>596</v>
      </c>
      <c r="D97" s="2" t="s">
        <v>572</v>
      </c>
      <c r="E97" s="2" t="s">
        <v>25</v>
      </c>
      <c r="F97" s="2" t="s">
        <v>26</v>
      </c>
      <c r="G97" s="2" t="s">
        <v>73</v>
      </c>
      <c r="H97" s="2" t="s">
        <v>45</v>
      </c>
      <c r="I97" s="2" t="s">
        <v>176</v>
      </c>
      <c r="J97" s="2" t="s">
        <v>379</v>
      </c>
      <c r="K97" s="2" t="s">
        <v>161</v>
      </c>
      <c r="L97" s="2" t="s">
        <v>33</v>
      </c>
      <c r="M97" s="2" t="s">
        <v>63</v>
      </c>
      <c r="N97" s="2" t="s">
        <v>34</v>
      </c>
      <c r="O97" s="2" t="s">
        <v>468</v>
      </c>
      <c r="P97" s="2" t="s">
        <v>597</v>
      </c>
      <c r="Q97" s="2" t="s">
        <v>181</v>
      </c>
      <c r="R97" s="2" t="s">
        <v>52</v>
      </c>
      <c r="S97" s="2" t="s">
        <v>598</v>
      </c>
      <c r="T97" s="2" t="s">
        <v>599</v>
      </c>
      <c r="U97" s="2" t="s">
        <v>600</v>
      </c>
      <c r="V97" s="2"/>
    </row>
    <row r="98">
      <c r="A98" s="2">
        <v>97</v>
      </c>
      <c r="B98" s="2" t="s">
        <v>239</v>
      </c>
      <c r="C98" s="2" t="s">
        <v>601</v>
      </c>
      <c r="D98" s="2" t="s">
        <v>572</v>
      </c>
      <c r="E98" s="2" t="s">
        <v>25</v>
      </c>
      <c r="F98" s="2" t="s">
        <v>26</v>
      </c>
      <c r="G98" s="2" t="s">
        <v>73</v>
      </c>
      <c r="H98" s="2" t="s">
        <v>45</v>
      </c>
      <c r="I98" s="2" t="s">
        <v>46</v>
      </c>
      <c r="J98" s="2" t="s">
        <v>84</v>
      </c>
      <c r="K98" s="2" t="s">
        <v>48</v>
      </c>
      <c r="L98" s="2" t="s">
        <v>33</v>
      </c>
      <c r="M98" s="2" t="s">
        <v>49</v>
      </c>
      <c r="N98" s="2" t="s">
        <v>140</v>
      </c>
      <c r="O98" s="2" t="s">
        <v>33</v>
      </c>
      <c r="P98" s="2" t="s">
        <v>76</v>
      </c>
      <c r="Q98" s="2" t="s">
        <v>25</v>
      </c>
      <c r="R98" s="2" t="s">
        <v>52</v>
      </c>
      <c r="S98" s="2" t="s">
        <v>397</v>
      </c>
      <c r="T98" s="2" t="s">
        <v>602</v>
      </c>
      <c r="U98" s="2" t="s">
        <v>603</v>
      </c>
      <c r="V98" s="2"/>
    </row>
    <row r="99">
      <c r="A99" s="2">
        <v>98</v>
      </c>
      <c r="B99" s="2" t="s">
        <v>604</v>
      </c>
      <c r="C99" s="2" t="s">
        <v>605</v>
      </c>
      <c r="D99" s="2" t="s">
        <v>572</v>
      </c>
      <c r="E99" s="2" t="s">
        <v>25</v>
      </c>
      <c r="F99" s="2" t="s">
        <v>26</v>
      </c>
      <c r="G99" s="2" t="s">
        <v>27</v>
      </c>
      <c r="H99" s="2" t="s">
        <v>45</v>
      </c>
      <c r="I99" s="2" t="s">
        <v>29</v>
      </c>
      <c r="J99" s="2" t="s">
        <v>84</v>
      </c>
      <c r="K99" s="2" t="s">
        <v>62</v>
      </c>
      <c r="L99" s="2" t="s">
        <v>33</v>
      </c>
      <c r="M99" s="2" t="s">
        <v>372</v>
      </c>
      <c r="N99" s="2" t="s">
        <v>606</v>
      </c>
      <c r="O99" s="2" t="s">
        <v>607</v>
      </c>
      <c r="P99" s="2" t="s">
        <v>76</v>
      </c>
      <c r="Q99" s="2" t="s">
        <v>25</v>
      </c>
      <c r="R99" s="2" t="s">
        <v>52</v>
      </c>
      <c r="S99" s="2" t="s">
        <v>281</v>
      </c>
      <c r="T99" s="2" t="s">
        <v>608</v>
      </c>
      <c r="U99" s="2" t="s">
        <v>609</v>
      </c>
      <c r="V99" s="2"/>
    </row>
    <row r="100">
      <c r="A100" s="2">
        <v>99</v>
      </c>
      <c r="B100" s="2" t="s">
        <v>131</v>
      </c>
      <c r="C100" s="2" t="s">
        <v>610</v>
      </c>
      <c r="D100" s="2" t="s">
        <v>572</v>
      </c>
      <c r="E100" s="2" t="s">
        <v>25</v>
      </c>
      <c r="F100" s="2" t="s">
        <v>26</v>
      </c>
      <c r="G100" s="2" t="s">
        <v>27</v>
      </c>
      <c r="H100" s="2" t="s">
        <v>45</v>
      </c>
      <c r="I100" s="2" t="s">
        <v>176</v>
      </c>
      <c r="J100" s="2" t="s">
        <v>61</v>
      </c>
      <c r="K100" s="2" t="s">
        <v>161</v>
      </c>
      <c r="L100" s="2" t="s">
        <v>611</v>
      </c>
      <c r="M100" s="2" t="s">
        <v>49</v>
      </c>
      <c r="N100" s="2" t="s">
        <v>612</v>
      </c>
      <c r="O100" s="2" t="s">
        <v>33</v>
      </c>
      <c r="P100" s="2" t="s">
        <v>613</v>
      </c>
      <c r="Q100" s="2" t="s">
        <v>181</v>
      </c>
      <c r="R100" s="2" t="s">
        <v>52</v>
      </c>
      <c r="S100" s="2" t="s">
        <v>479</v>
      </c>
      <c r="T100" s="2" t="s">
        <v>614</v>
      </c>
      <c r="U100" s="2" t="s">
        <v>615</v>
      </c>
      <c r="V100" s="2"/>
    </row>
    <row r="101">
      <c r="A101" s="2">
        <v>100</v>
      </c>
      <c r="B101" s="2" t="s">
        <v>41</v>
      </c>
      <c r="C101" s="2" t="s">
        <v>616</v>
      </c>
      <c r="D101" s="2" t="s">
        <v>572</v>
      </c>
      <c r="E101" s="2" t="s">
        <v>25</v>
      </c>
      <c r="F101" s="2" t="s">
        <v>58</v>
      </c>
      <c r="G101" s="2" t="s">
        <v>59</v>
      </c>
      <c r="H101" s="2" t="s">
        <v>60</v>
      </c>
      <c r="I101" s="2" t="s">
        <v>29</v>
      </c>
      <c r="J101" s="2" t="s">
        <v>112</v>
      </c>
      <c r="K101" s="2" t="s">
        <v>62</v>
      </c>
      <c r="L101" s="2" t="s">
        <v>139</v>
      </c>
      <c r="M101" s="2" t="s">
        <v>617</v>
      </c>
      <c r="N101" s="2" t="s">
        <v>618</v>
      </c>
      <c r="O101" s="2" t="s">
        <v>218</v>
      </c>
      <c r="P101" s="2" t="s">
        <v>619</v>
      </c>
      <c r="Q101" s="2" t="s">
        <v>25</v>
      </c>
      <c r="R101" s="2" t="s">
        <v>66</v>
      </c>
      <c r="S101" s="2" t="s">
        <v>479</v>
      </c>
      <c r="T101" s="2" t="s">
        <v>620</v>
      </c>
      <c r="U101" s="2" t="s">
        <v>621</v>
      </c>
      <c r="V101" s="2" t="s">
        <v>563</v>
      </c>
    </row>
    <row r="102">
      <c r="A102" s="2">
        <v>101</v>
      </c>
      <c r="B102" s="2" t="s">
        <v>41</v>
      </c>
      <c r="C102" s="2" t="s">
        <v>622</v>
      </c>
      <c r="D102" s="2" t="s">
        <v>572</v>
      </c>
      <c r="E102" s="2" t="s">
        <v>25</v>
      </c>
      <c r="F102" s="2" t="s">
        <v>26</v>
      </c>
      <c r="G102" s="2" t="s">
        <v>27</v>
      </c>
      <c r="H102" s="2" t="s">
        <v>45</v>
      </c>
      <c r="I102" s="2" t="s">
        <v>29</v>
      </c>
      <c r="J102" s="2" t="s">
        <v>112</v>
      </c>
      <c r="K102" s="2" t="s">
        <v>48</v>
      </c>
      <c r="L102" s="2" t="s">
        <v>33</v>
      </c>
      <c r="M102" s="2" t="s">
        <v>544</v>
      </c>
      <c r="N102" s="2" t="s">
        <v>623</v>
      </c>
      <c r="O102" s="2" t="s">
        <v>33</v>
      </c>
      <c r="P102" s="2" t="s">
        <v>624</v>
      </c>
      <c r="Q102" s="2" t="s">
        <v>25</v>
      </c>
      <c r="R102" s="2" t="s">
        <v>52</v>
      </c>
      <c r="S102" s="2" t="s">
        <v>625</v>
      </c>
      <c r="T102" s="2" t="s">
        <v>626</v>
      </c>
      <c r="U102" s="2" t="s">
        <v>627</v>
      </c>
      <c r="V102" s="2" t="s">
        <v>145</v>
      </c>
    </row>
    <row r="103">
      <c r="A103" s="2">
        <v>102</v>
      </c>
      <c r="B103" s="2" t="s">
        <v>117</v>
      </c>
      <c r="C103" s="2" t="s">
        <v>628</v>
      </c>
      <c r="D103" s="2" t="s">
        <v>572</v>
      </c>
      <c r="E103" s="2" t="s">
        <v>25</v>
      </c>
      <c r="F103" s="2" t="s">
        <v>26</v>
      </c>
      <c r="G103" s="2" t="s">
        <v>73</v>
      </c>
      <c r="H103" s="2" t="s">
        <v>45</v>
      </c>
      <c r="I103" s="2" t="s">
        <v>46</v>
      </c>
      <c r="J103" s="2" t="s">
        <v>629</v>
      </c>
      <c r="K103" s="2" t="s">
        <v>161</v>
      </c>
      <c r="L103" s="2" t="s">
        <v>630</v>
      </c>
      <c r="M103" s="2" t="s">
        <v>631</v>
      </c>
      <c r="N103" s="2" t="s">
        <v>632</v>
      </c>
      <c r="O103" s="2" t="s">
        <v>468</v>
      </c>
      <c r="P103" s="2" t="s">
        <v>633</v>
      </c>
      <c r="Q103" s="2" t="s">
        <v>25</v>
      </c>
      <c r="R103" s="2" t="s">
        <v>52</v>
      </c>
      <c r="S103" s="2" t="s">
        <v>634</v>
      </c>
      <c r="T103" s="2" t="s">
        <v>635</v>
      </c>
      <c r="U103" s="2" t="s">
        <v>636</v>
      </c>
      <c r="V103" s="2"/>
    </row>
    <row r="104">
      <c r="A104" s="2">
        <v>103</v>
      </c>
      <c r="B104" s="2" t="s">
        <v>131</v>
      </c>
      <c r="C104" s="2" t="s">
        <v>637</v>
      </c>
      <c r="D104" s="2" t="s">
        <v>572</v>
      </c>
      <c r="E104" s="2" t="s">
        <v>25</v>
      </c>
      <c r="F104" s="2" t="s">
        <v>26</v>
      </c>
      <c r="G104" s="2" t="s">
        <v>27</v>
      </c>
      <c r="H104" s="2" t="s">
        <v>45</v>
      </c>
      <c r="I104" s="2" t="s">
        <v>29</v>
      </c>
      <c r="J104" s="2" t="s">
        <v>84</v>
      </c>
      <c r="K104" s="2" t="s">
        <v>62</v>
      </c>
      <c r="L104" s="2" t="s">
        <v>638</v>
      </c>
      <c r="M104" s="2" t="s">
        <v>63</v>
      </c>
      <c r="N104" s="2" t="s">
        <v>34</v>
      </c>
      <c r="O104" s="2" t="s">
        <v>639</v>
      </c>
      <c r="P104" s="2" t="s">
        <v>76</v>
      </c>
      <c r="Q104" s="2" t="s">
        <v>25</v>
      </c>
      <c r="R104" s="2" t="s">
        <v>52</v>
      </c>
      <c r="S104" s="2" t="s">
        <v>194</v>
      </c>
      <c r="T104" s="2" t="s">
        <v>640</v>
      </c>
      <c r="U104" s="2" t="s">
        <v>641</v>
      </c>
      <c r="V104" s="2"/>
    </row>
    <row r="105">
      <c r="A105" s="2">
        <v>104</v>
      </c>
      <c r="B105" s="2" t="s">
        <v>41</v>
      </c>
      <c r="C105" s="2" t="s">
        <v>642</v>
      </c>
      <c r="D105" s="2" t="s">
        <v>572</v>
      </c>
      <c r="E105" s="2" t="s">
        <v>25</v>
      </c>
      <c r="F105" s="2" t="s">
        <v>26</v>
      </c>
      <c r="G105" s="2" t="s">
        <v>27</v>
      </c>
      <c r="H105" s="2" t="s">
        <v>45</v>
      </c>
      <c r="I105" s="2" t="s">
        <v>29</v>
      </c>
      <c r="J105" s="2" t="s">
        <v>112</v>
      </c>
      <c r="K105" s="2" t="s">
        <v>161</v>
      </c>
      <c r="L105" s="2" t="s">
        <v>33</v>
      </c>
      <c r="M105" s="2" t="s">
        <v>63</v>
      </c>
      <c r="N105" s="2" t="s">
        <v>643</v>
      </c>
      <c r="O105" s="2" t="s">
        <v>33</v>
      </c>
      <c r="P105" s="2" t="s">
        <v>76</v>
      </c>
      <c r="Q105" s="2" t="s">
        <v>25</v>
      </c>
      <c r="R105" s="2" t="s">
        <v>52</v>
      </c>
      <c r="S105" s="2" t="s">
        <v>78</v>
      </c>
      <c r="T105" s="2" t="s">
        <v>644</v>
      </c>
      <c r="U105" s="2" t="s">
        <v>645</v>
      </c>
      <c r="V105" s="2" t="s">
        <v>81</v>
      </c>
    </row>
    <row r="106">
      <c r="A106" s="2">
        <v>105</v>
      </c>
      <c r="B106" s="2" t="s">
        <v>646</v>
      </c>
      <c r="C106" s="2" t="s">
        <v>647</v>
      </c>
      <c r="D106" s="2" t="s">
        <v>572</v>
      </c>
      <c r="E106" s="2" t="s">
        <v>25</v>
      </c>
      <c r="F106" s="2" t="s">
        <v>26</v>
      </c>
      <c r="G106" s="2" t="s">
        <v>73</v>
      </c>
      <c r="H106" s="2" t="s">
        <v>45</v>
      </c>
      <c r="I106" s="2" t="s">
        <v>29</v>
      </c>
      <c r="J106" s="2" t="s">
        <v>160</v>
      </c>
      <c r="K106" s="2" t="s">
        <v>104</v>
      </c>
      <c r="L106" s="2" t="s">
        <v>33</v>
      </c>
      <c r="M106" s="2" t="s">
        <v>648</v>
      </c>
      <c r="N106" s="2" t="s">
        <v>649</v>
      </c>
      <c r="O106" s="2" t="s">
        <v>218</v>
      </c>
      <c r="P106" s="2" t="s">
        <v>650</v>
      </c>
      <c r="Q106" s="2" t="s">
        <v>25</v>
      </c>
      <c r="R106" s="2" t="s">
        <v>52</v>
      </c>
      <c r="S106" s="2" t="s">
        <v>479</v>
      </c>
      <c r="T106" s="2" t="s">
        <v>651</v>
      </c>
      <c r="U106" s="2" t="s">
        <v>652</v>
      </c>
      <c r="V106" s="2" t="s">
        <v>563</v>
      </c>
    </row>
    <row r="107">
      <c r="A107" s="2">
        <v>106</v>
      </c>
      <c r="B107" s="2" t="s">
        <v>56</v>
      </c>
      <c r="C107" s="2" t="s">
        <v>653</v>
      </c>
      <c r="D107" s="2" t="s">
        <v>572</v>
      </c>
      <c r="E107" s="2" t="s">
        <v>25</v>
      </c>
      <c r="F107" s="2" t="s">
        <v>26</v>
      </c>
      <c r="G107" s="2" t="s">
        <v>27</v>
      </c>
      <c r="H107" s="2" t="s">
        <v>45</v>
      </c>
      <c r="I107" s="2" t="s">
        <v>46</v>
      </c>
      <c r="J107" s="2" t="s">
        <v>47</v>
      </c>
      <c r="K107" s="2" t="s">
        <v>62</v>
      </c>
      <c r="L107" s="2" t="s">
        <v>33</v>
      </c>
      <c r="M107" s="2" t="s">
        <v>366</v>
      </c>
      <c r="N107" s="2" t="s">
        <v>566</v>
      </c>
      <c r="O107" s="2" t="s">
        <v>33</v>
      </c>
      <c r="P107" s="2" t="s">
        <v>654</v>
      </c>
      <c r="Q107" s="2" t="s">
        <v>25</v>
      </c>
      <c r="R107" s="2" t="s">
        <v>52</v>
      </c>
      <c r="S107" s="2" t="s">
        <v>655</v>
      </c>
      <c r="T107" s="2" t="s">
        <v>656</v>
      </c>
      <c r="U107" s="2" t="s">
        <v>657</v>
      </c>
      <c r="V107" s="2"/>
    </row>
    <row r="108">
      <c r="A108" s="2">
        <v>107</v>
      </c>
      <c r="B108" s="2" t="s">
        <v>41</v>
      </c>
      <c r="C108" s="2" t="s">
        <v>658</v>
      </c>
      <c r="D108" s="2" t="s">
        <v>572</v>
      </c>
      <c r="E108" s="2" t="s">
        <v>25</v>
      </c>
      <c r="F108" s="2" t="s">
        <v>26</v>
      </c>
      <c r="G108" s="2" t="s">
        <v>73</v>
      </c>
      <c r="H108" s="2" t="s">
        <v>45</v>
      </c>
      <c r="I108" s="2" t="s">
        <v>46</v>
      </c>
      <c r="J108" s="2" t="s">
        <v>112</v>
      </c>
      <c r="K108" s="2" t="s">
        <v>62</v>
      </c>
      <c r="L108" s="2" t="s">
        <v>33</v>
      </c>
      <c r="M108" s="2" t="s">
        <v>659</v>
      </c>
      <c r="N108" s="2" t="s">
        <v>660</v>
      </c>
      <c r="O108" s="2" t="s">
        <v>33</v>
      </c>
      <c r="P108" s="2" t="s">
        <v>661</v>
      </c>
      <c r="Q108" s="2" t="s">
        <v>25</v>
      </c>
      <c r="R108" s="2" t="s">
        <v>52</v>
      </c>
      <c r="S108" s="2" t="s">
        <v>634</v>
      </c>
      <c r="T108" s="2" t="s">
        <v>662</v>
      </c>
      <c r="U108" s="2" t="s">
        <v>663</v>
      </c>
      <c r="V108" s="2"/>
    </row>
    <row r="109">
      <c r="A109" s="2">
        <v>108</v>
      </c>
      <c r="B109" s="2" t="s">
        <v>56</v>
      </c>
      <c r="C109" s="2" t="s">
        <v>664</v>
      </c>
      <c r="D109" s="2" t="s">
        <v>572</v>
      </c>
      <c r="E109" s="2" t="s">
        <v>25</v>
      </c>
      <c r="F109" s="2" t="s">
        <v>26</v>
      </c>
      <c r="G109" s="2" t="s">
        <v>27</v>
      </c>
      <c r="H109" s="2" t="s">
        <v>45</v>
      </c>
      <c r="I109" s="2" t="s">
        <v>46</v>
      </c>
      <c r="J109" s="2" t="s">
        <v>112</v>
      </c>
      <c r="K109" s="2" t="s">
        <v>48</v>
      </c>
      <c r="L109" s="2" t="s">
        <v>33</v>
      </c>
      <c r="M109" s="2" t="s">
        <v>488</v>
      </c>
      <c r="N109" s="2" t="s">
        <v>665</v>
      </c>
      <c r="O109" s="2" t="s">
        <v>93</v>
      </c>
      <c r="P109" s="2" t="s">
        <v>76</v>
      </c>
      <c r="Q109" s="2" t="s">
        <v>25</v>
      </c>
      <c r="R109" s="2" t="s">
        <v>52</v>
      </c>
      <c r="S109" s="2" t="s">
        <v>666</v>
      </c>
      <c r="T109" s="2" t="s">
        <v>667</v>
      </c>
      <c r="U109" s="2" t="s">
        <v>668</v>
      </c>
      <c r="V109" s="2"/>
    </row>
    <row r="110">
      <c r="A110" s="2">
        <v>109</v>
      </c>
      <c r="B110" s="2" t="s">
        <v>117</v>
      </c>
      <c r="C110" s="2" t="s">
        <v>669</v>
      </c>
      <c r="D110" s="2" t="s">
        <v>572</v>
      </c>
      <c r="E110" s="2" t="s">
        <v>25</v>
      </c>
      <c r="F110" s="2" t="s">
        <v>26</v>
      </c>
      <c r="G110" s="2" t="s">
        <v>73</v>
      </c>
      <c r="H110" s="2" t="s">
        <v>45</v>
      </c>
      <c r="I110" s="2" t="s">
        <v>46</v>
      </c>
      <c r="J110" s="2" t="s">
        <v>580</v>
      </c>
      <c r="K110" s="2" t="s">
        <v>48</v>
      </c>
      <c r="L110" s="2" t="s">
        <v>33</v>
      </c>
      <c r="M110" s="2" t="s">
        <v>631</v>
      </c>
      <c r="N110" s="2" t="s">
        <v>670</v>
      </c>
      <c r="O110" s="2" t="s">
        <v>468</v>
      </c>
      <c r="P110" s="2" t="s">
        <v>671</v>
      </c>
      <c r="Q110" s="2" t="s">
        <v>25</v>
      </c>
      <c r="R110" s="2" t="s">
        <v>52</v>
      </c>
      <c r="S110" s="2" t="s">
        <v>672</v>
      </c>
      <c r="T110" s="2" t="s">
        <v>673</v>
      </c>
      <c r="U110" s="2" t="s">
        <v>674</v>
      </c>
      <c r="V110" s="2" t="s">
        <v>81</v>
      </c>
    </row>
    <row r="111">
      <c r="A111" s="2">
        <v>110</v>
      </c>
      <c r="B111" s="2" t="s">
        <v>82</v>
      </c>
      <c r="C111" s="2" t="s">
        <v>675</v>
      </c>
      <c r="D111" s="2" t="s">
        <v>572</v>
      </c>
      <c r="E111" s="2" t="s">
        <v>25</v>
      </c>
      <c r="F111" s="2" t="s">
        <v>26</v>
      </c>
      <c r="G111" s="2" t="s">
        <v>27</v>
      </c>
      <c r="H111" s="2" t="s">
        <v>45</v>
      </c>
      <c r="I111" s="2" t="s">
        <v>46</v>
      </c>
      <c r="J111" s="2" t="s">
        <v>676</v>
      </c>
      <c r="K111" s="2" t="s">
        <v>161</v>
      </c>
      <c r="L111" s="2" t="s">
        <v>33</v>
      </c>
      <c r="M111" s="2" t="s">
        <v>677</v>
      </c>
      <c r="N111" s="2" t="s">
        <v>678</v>
      </c>
      <c r="O111" s="2" t="s">
        <v>205</v>
      </c>
      <c r="P111" s="2" t="s">
        <v>76</v>
      </c>
      <c r="Q111" s="2" t="s">
        <v>25</v>
      </c>
      <c r="R111" s="2" t="s">
        <v>52</v>
      </c>
      <c r="S111" s="2" t="s">
        <v>107</v>
      </c>
      <c r="T111" s="2" t="s">
        <v>679</v>
      </c>
      <c r="U111" s="2" t="s">
        <v>680</v>
      </c>
      <c r="V111" s="2"/>
    </row>
    <row r="112">
      <c r="A112" s="2">
        <v>111</v>
      </c>
      <c r="B112" s="2" t="s">
        <v>56</v>
      </c>
      <c r="C112" s="2" t="s">
        <v>681</v>
      </c>
      <c r="D112" s="2" t="s">
        <v>572</v>
      </c>
      <c r="E112" s="2" t="s">
        <v>25</v>
      </c>
      <c r="F112" s="2" t="s">
        <v>26</v>
      </c>
      <c r="G112" s="2" t="s">
        <v>73</v>
      </c>
      <c r="H112" s="2" t="s">
        <v>45</v>
      </c>
      <c r="I112" s="2" t="s">
        <v>29</v>
      </c>
      <c r="J112" s="2" t="s">
        <v>84</v>
      </c>
      <c r="K112" s="2" t="s">
        <v>48</v>
      </c>
      <c r="L112" s="2" t="s">
        <v>33</v>
      </c>
      <c r="M112" s="2" t="s">
        <v>178</v>
      </c>
      <c r="N112" s="2" t="s">
        <v>34</v>
      </c>
      <c r="O112" s="2" t="s">
        <v>33</v>
      </c>
      <c r="P112" s="2" t="s">
        <v>76</v>
      </c>
      <c r="Q112" s="2" t="s">
        <v>25</v>
      </c>
      <c r="R112" s="2" t="s">
        <v>52</v>
      </c>
      <c r="S112" s="2" t="s">
        <v>135</v>
      </c>
      <c r="T112" s="2" t="s">
        <v>682</v>
      </c>
      <c r="U112" s="2" t="s">
        <v>683</v>
      </c>
      <c r="V112" s="2"/>
    </row>
    <row r="113">
      <c r="A113" s="2">
        <v>112</v>
      </c>
      <c r="B113" s="2" t="s">
        <v>41</v>
      </c>
      <c r="C113" s="2" t="s">
        <v>684</v>
      </c>
      <c r="D113" s="2" t="s">
        <v>572</v>
      </c>
      <c r="E113" s="2" t="s">
        <v>25</v>
      </c>
      <c r="F113" s="2" t="s">
        <v>26</v>
      </c>
      <c r="G113" s="2" t="s">
        <v>27</v>
      </c>
      <c r="H113" s="2" t="s">
        <v>45</v>
      </c>
      <c r="I113" s="2" t="s">
        <v>46</v>
      </c>
      <c r="J113" s="2" t="s">
        <v>47</v>
      </c>
      <c r="K113" s="2" t="s">
        <v>48</v>
      </c>
      <c r="L113" s="2" t="s">
        <v>33</v>
      </c>
      <c r="M113" s="2" t="s">
        <v>565</v>
      </c>
      <c r="N113" s="2" t="s">
        <v>685</v>
      </c>
      <c r="O113" s="2" t="s">
        <v>328</v>
      </c>
      <c r="P113" s="2" t="s">
        <v>686</v>
      </c>
      <c r="Q113" s="2" t="s">
        <v>25</v>
      </c>
      <c r="R113" s="2" t="s">
        <v>52</v>
      </c>
      <c r="S113" s="2" t="s">
        <v>687</v>
      </c>
      <c r="T113" s="2" t="s">
        <v>688</v>
      </c>
      <c r="U113" s="2" t="s">
        <v>689</v>
      </c>
      <c r="V113" s="2"/>
    </row>
    <row r="114">
      <c r="A114" s="2">
        <v>113</v>
      </c>
      <c r="B114" s="2" t="s">
        <v>41</v>
      </c>
      <c r="C114" s="2" t="s">
        <v>690</v>
      </c>
      <c r="D114" s="2" t="s">
        <v>572</v>
      </c>
      <c r="E114" s="2" t="s">
        <v>25</v>
      </c>
      <c r="F114" s="2" t="s">
        <v>26</v>
      </c>
      <c r="G114" s="2" t="s">
        <v>27</v>
      </c>
      <c r="H114" s="2" t="s">
        <v>45</v>
      </c>
      <c r="I114" s="2" t="s">
        <v>46</v>
      </c>
      <c r="J114" s="2" t="s">
        <v>676</v>
      </c>
      <c r="K114" s="2" t="s">
        <v>104</v>
      </c>
      <c r="L114" s="2" t="s">
        <v>33</v>
      </c>
      <c r="M114" s="2" t="s">
        <v>691</v>
      </c>
      <c r="N114" s="2" t="s">
        <v>692</v>
      </c>
      <c r="O114" s="2" t="s">
        <v>468</v>
      </c>
      <c r="P114" s="2" t="s">
        <v>693</v>
      </c>
      <c r="Q114" s="2" t="s">
        <v>25</v>
      </c>
      <c r="R114" s="2" t="s">
        <v>52</v>
      </c>
      <c r="S114" s="2" t="s">
        <v>281</v>
      </c>
      <c r="T114" s="2" t="s">
        <v>694</v>
      </c>
      <c r="U114" s="2" t="s">
        <v>695</v>
      </c>
      <c r="V114" s="2" t="s">
        <v>197</v>
      </c>
    </row>
    <row r="115">
      <c r="A115" s="2">
        <v>114</v>
      </c>
      <c r="B115" s="2" t="s">
        <v>239</v>
      </c>
      <c r="C115" s="2" t="s">
        <v>696</v>
      </c>
      <c r="D115" s="2" t="s">
        <v>572</v>
      </c>
      <c r="E115" s="2" t="s">
        <v>25</v>
      </c>
      <c r="F115" s="2" t="s">
        <v>58</v>
      </c>
      <c r="G115" s="2" t="s">
        <v>59</v>
      </c>
      <c r="H115" s="2" t="s">
        <v>60</v>
      </c>
      <c r="I115" s="2" t="s">
        <v>29</v>
      </c>
      <c r="J115" s="2" t="s">
        <v>160</v>
      </c>
      <c r="K115" s="2" t="s">
        <v>62</v>
      </c>
      <c r="L115" s="2" t="s">
        <v>33</v>
      </c>
      <c r="M115" s="2" t="s">
        <v>697</v>
      </c>
      <c r="N115" s="2" t="s">
        <v>698</v>
      </c>
      <c r="O115" s="2" t="s">
        <v>33</v>
      </c>
      <c r="P115" s="2" t="s">
        <v>699</v>
      </c>
      <c r="Q115" s="2" t="s">
        <v>25</v>
      </c>
      <c r="R115" s="2" t="s">
        <v>66</v>
      </c>
      <c r="S115" s="2" t="s">
        <v>107</v>
      </c>
      <c r="T115" s="2" t="s">
        <v>700</v>
      </c>
      <c r="U115" s="2" t="s">
        <v>701</v>
      </c>
      <c r="V115" s="2"/>
    </row>
    <row r="116">
      <c r="A116" s="2">
        <v>115</v>
      </c>
      <c r="B116" s="2" t="s">
        <v>41</v>
      </c>
      <c r="C116" s="2" t="s">
        <v>702</v>
      </c>
      <c r="D116" s="2" t="s">
        <v>572</v>
      </c>
      <c r="E116" s="2" t="s">
        <v>25</v>
      </c>
      <c r="F116" s="2" t="s">
        <v>26</v>
      </c>
      <c r="G116" s="2" t="s">
        <v>27</v>
      </c>
      <c r="H116" s="2" t="s">
        <v>45</v>
      </c>
      <c r="I116" s="2" t="s">
        <v>46</v>
      </c>
      <c r="J116" s="2" t="s">
        <v>84</v>
      </c>
      <c r="K116" s="2" t="s">
        <v>62</v>
      </c>
      <c r="L116" s="2" t="s">
        <v>33</v>
      </c>
      <c r="M116" s="2" t="s">
        <v>285</v>
      </c>
      <c r="N116" s="2" t="s">
        <v>703</v>
      </c>
      <c r="O116" s="2" t="s">
        <v>33</v>
      </c>
      <c r="P116" s="2" t="s">
        <v>704</v>
      </c>
      <c r="Q116" s="2" t="s">
        <v>25</v>
      </c>
      <c r="R116" s="2" t="s">
        <v>52</v>
      </c>
      <c r="S116" s="2" t="s">
        <v>705</v>
      </c>
      <c r="T116" s="2" t="s">
        <v>706</v>
      </c>
      <c r="U116" s="2" t="s">
        <v>707</v>
      </c>
      <c r="V116" s="2"/>
    </row>
    <row r="117">
      <c r="A117" s="2">
        <v>116</v>
      </c>
      <c r="B117" s="2" t="s">
        <v>82</v>
      </c>
      <c r="C117" s="2" t="s">
        <v>708</v>
      </c>
      <c r="D117" s="2" t="s">
        <v>572</v>
      </c>
      <c r="E117" s="2" t="s">
        <v>25</v>
      </c>
      <c r="F117" s="2" t="s">
        <v>26</v>
      </c>
      <c r="G117" s="2" t="s">
        <v>27</v>
      </c>
      <c r="H117" s="2" t="s">
        <v>45</v>
      </c>
      <c r="I117" s="2" t="s">
        <v>29</v>
      </c>
      <c r="J117" s="2" t="s">
        <v>112</v>
      </c>
      <c r="K117" s="2" t="s">
        <v>62</v>
      </c>
      <c r="L117" s="2" t="s">
        <v>139</v>
      </c>
      <c r="M117" s="2" t="s">
        <v>709</v>
      </c>
      <c r="N117" s="2" t="s">
        <v>710</v>
      </c>
      <c r="O117" s="2" t="s">
        <v>33</v>
      </c>
      <c r="P117" s="2" t="s">
        <v>711</v>
      </c>
      <c r="Q117" s="2" t="s">
        <v>25</v>
      </c>
      <c r="R117" s="2" t="s">
        <v>52</v>
      </c>
      <c r="S117" s="2" t="s">
        <v>172</v>
      </c>
      <c r="T117" s="2" t="s">
        <v>712</v>
      </c>
      <c r="U117" s="2" t="s">
        <v>713</v>
      </c>
      <c r="V117" s="2" t="s">
        <v>81</v>
      </c>
    </row>
    <row r="118">
      <c r="A118" s="2">
        <v>117</v>
      </c>
      <c r="B118" s="2" t="s">
        <v>110</v>
      </c>
      <c r="C118" s="2" t="s">
        <v>714</v>
      </c>
      <c r="D118" s="2" t="s">
        <v>572</v>
      </c>
      <c r="E118" s="2" t="s">
        <v>25</v>
      </c>
      <c r="F118" s="2" t="s">
        <v>26</v>
      </c>
      <c r="G118" s="2" t="s">
        <v>73</v>
      </c>
      <c r="H118" s="2" t="s">
        <v>45</v>
      </c>
      <c r="I118" s="2" t="s">
        <v>29</v>
      </c>
      <c r="J118" s="2" t="s">
        <v>527</v>
      </c>
      <c r="K118" s="2" t="s">
        <v>104</v>
      </c>
      <c r="L118" s="2" t="s">
        <v>33</v>
      </c>
      <c r="M118" s="2" t="s">
        <v>63</v>
      </c>
      <c r="N118" s="2" t="s">
        <v>715</v>
      </c>
      <c r="O118" s="2" t="s">
        <v>716</v>
      </c>
      <c r="P118" s="2" t="s">
        <v>717</v>
      </c>
      <c r="Q118" s="2" t="s">
        <v>25</v>
      </c>
      <c r="R118" s="2" t="s">
        <v>52</v>
      </c>
      <c r="S118" s="2" t="s">
        <v>718</v>
      </c>
      <c r="T118" s="2" t="s">
        <v>719</v>
      </c>
      <c r="U118" s="2" t="s">
        <v>720</v>
      </c>
      <c r="V118" s="2" t="s">
        <v>81</v>
      </c>
    </row>
    <row r="119">
      <c r="A119" s="2">
        <v>118</v>
      </c>
      <c r="B119" s="2" t="s">
        <v>110</v>
      </c>
      <c r="C119" s="2" t="s">
        <v>721</v>
      </c>
      <c r="D119" s="2" t="s">
        <v>572</v>
      </c>
      <c r="E119" s="2" t="s">
        <v>25</v>
      </c>
      <c r="F119" s="2" t="s">
        <v>58</v>
      </c>
      <c r="G119" s="2" t="s">
        <v>59</v>
      </c>
      <c r="H119" s="2" t="s">
        <v>60</v>
      </c>
      <c r="I119" s="2" t="s">
        <v>29</v>
      </c>
      <c r="J119" s="2" t="s">
        <v>61</v>
      </c>
      <c r="K119" s="2" t="s">
        <v>31</v>
      </c>
      <c r="L119" s="2" t="s">
        <v>33</v>
      </c>
      <c r="M119" s="2" t="s">
        <v>722</v>
      </c>
      <c r="N119" s="2" t="s">
        <v>34</v>
      </c>
      <c r="O119" s="2" t="s">
        <v>33</v>
      </c>
      <c r="P119" s="2" t="s">
        <v>723</v>
      </c>
      <c r="Q119" s="2" t="s">
        <v>25</v>
      </c>
      <c r="R119" s="2" t="s">
        <v>66</v>
      </c>
      <c r="S119" s="2" t="s">
        <v>207</v>
      </c>
      <c r="T119" s="2" t="s">
        <v>724</v>
      </c>
      <c r="U119" s="2" t="s">
        <v>725</v>
      </c>
      <c r="V119" s="2"/>
    </row>
    <row r="120">
      <c r="A120" s="2">
        <v>119</v>
      </c>
      <c r="B120" s="2" t="s">
        <v>192</v>
      </c>
      <c r="C120" s="2" t="s">
        <v>726</v>
      </c>
      <c r="D120" s="2" t="s">
        <v>572</v>
      </c>
      <c r="E120" s="2" t="s">
        <v>25</v>
      </c>
      <c r="F120" s="2" t="s">
        <v>72</v>
      </c>
      <c r="G120" s="2" t="s">
        <v>73</v>
      </c>
      <c r="H120" s="2" t="s">
        <v>302</v>
      </c>
      <c r="I120" s="2" t="s">
        <v>176</v>
      </c>
      <c r="J120" s="2" t="s">
        <v>84</v>
      </c>
      <c r="K120" s="2" t="s">
        <v>104</v>
      </c>
      <c r="L120" s="2" t="s">
        <v>727</v>
      </c>
      <c r="M120" s="2" t="s">
        <v>728</v>
      </c>
      <c r="N120" s="2" t="s">
        <v>34</v>
      </c>
      <c r="O120" s="2" t="s">
        <v>729</v>
      </c>
      <c r="P120" s="2" t="s">
        <v>730</v>
      </c>
      <c r="Q120" s="2" t="s">
        <v>181</v>
      </c>
      <c r="R120" s="2" t="s">
        <v>305</v>
      </c>
      <c r="S120" s="2" t="s">
        <v>397</v>
      </c>
      <c r="T120" s="2" t="s">
        <v>731</v>
      </c>
      <c r="U120" s="2" t="s">
        <v>732</v>
      </c>
      <c r="V120" s="2"/>
    </row>
    <row r="121">
      <c r="A121" s="2">
        <v>120</v>
      </c>
      <c r="B121" s="2" t="s">
        <v>476</v>
      </c>
      <c r="C121" s="2" t="s">
        <v>733</v>
      </c>
      <c r="D121" s="2" t="s">
        <v>572</v>
      </c>
      <c r="E121" s="2" t="s">
        <v>25</v>
      </c>
      <c r="F121" s="2" t="s">
        <v>26</v>
      </c>
      <c r="G121" s="2" t="s">
        <v>27</v>
      </c>
      <c r="H121" s="2" t="s">
        <v>45</v>
      </c>
      <c r="I121" s="2" t="s">
        <v>29</v>
      </c>
      <c r="J121" s="2" t="s">
        <v>47</v>
      </c>
      <c r="K121" s="2" t="s">
        <v>48</v>
      </c>
      <c r="L121" s="2" t="s">
        <v>33</v>
      </c>
      <c r="M121" s="2" t="s">
        <v>49</v>
      </c>
      <c r="N121" s="2" t="s">
        <v>373</v>
      </c>
      <c r="O121" s="2" t="s">
        <v>93</v>
      </c>
      <c r="P121" s="2" t="s">
        <v>76</v>
      </c>
      <c r="Q121" s="2" t="s">
        <v>25</v>
      </c>
      <c r="R121" s="2" t="s">
        <v>52</v>
      </c>
      <c r="S121" s="2" t="s">
        <v>281</v>
      </c>
      <c r="T121" s="2" t="s">
        <v>734</v>
      </c>
      <c r="U121" s="2" t="s">
        <v>735</v>
      </c>
      <c r="V121" s="2"/>
    </row>
    <row r="122">
      <c r="A122" s="2">
        <v>121</v>
      </c>
      <c r="B122" s="2" t="s">
        <v>117</v>
      </c>
      <c r="C122" s="2" t="s">
        <v>736</v>
      </c>
      <c r="D122" s="2" t="s">
        <v>572</v>
      </c>
      <c r="E122" s="2" t="s">
        <v>25</v>
      </c>
      <c r="F122" s="2" t="s">
        <v>26</v>
      </c>
      <c r="G122" s="2" t="s">
        <v>73</v>
      </c>
      <c r="H122" s="2" t="s">
        <v>45</v>
      </c>
      <c r="I122" s="2" t="s">
        <v>46</v>
      </c>
      <c r="J122" s="2" t="s">
        <v>160</v>
      </c>
      <c r="K122" s="2" t="s">
        <v>62</v>
      </c>
      <c r="L122" s="2" t="s">
        <v>33</v>
      </c>
      <c r="M122" s="2" t="s">
        <v>737</v>
      </c>
      <c r="N122" s="2" t="s">
        <v>738</v>
      </c>
      <c r="O122" s="2" t="s">
        <v>33</v>
      </c>
      <c r="P122" s="2" t="s">
        <v>739</v>
      </c>
      <c r="Q122" s="2" t="s">
        <v>25</v>
      </c>
      <c r="R122" s="2" t="s">
        <v>52</v>
      </c>
      <c r="S122" s="2" t="s">
        <v>740</v>
      </c>
      <c r="T122" s="2" t="s">
        <v>741</v>
      </c>
      <c r="U122" s="2" t="s">
        <v>742</v>
      </c>
      <c r="V122" s="2"/>
    </row>
    <row r="123">
      <c r="A123" s="2">
        <v>122</v>
      </c>
      <c r="B123" s="2" t="s">
        <v>82</v>
      </c>
      <c r="C123" s="2" t="s">
        <v>743</v>
      </c>
      <c r="D123" s="2" t="s">
        <v>572</v>
      </c>
      <c r="E123" s="2" t="s">
        <v>25</v>
      </c>
      <c r="F123" s="2" t="s">
        <v>26</v>
      </c>
      <c r="G123" s="2" t="s">
        <v>73</v>
      </c>
      <c r="H123" s="2" t="s">
        <v>45</v>
      </c>
      <c r="I123" s="2" t="s">
        <v>46</v>
      </c>
      <c r="J123" s="2" t="s">
        <v>676</v>
      </c>
      <c r="K123" s="2" t="s">
        <v>48</v>
      </c>
      <c r="L123" s="2" t="s">
        <v>33</v>
      </c>
      <c r="M123" s="2" t="s">
        <v>258</v>
      </c>
      <c r="N123" s="2" t="s">
        <v>744</v>
      </c>
      <c r="O123" s="2" t="s">
        <v>33</v>
      </c>
      <c r="P123" s="2" t="s">
        <v>745</v>
      </c>
      <c r="Q123" s="2" t="s">
        <v>25</v>
      </c>
      <c r="R123" s="2" t="s">
        <v>52</v>
      </c>
      <c r="S123" s="2" t="s">
        <v>746</v>
      </c>
      <c r="T123" s="2" t="s">
        <v>747</v>
      </c>
      <c r="U123" s="2" t="s">
        <v>748</v>
      </c>
      <c r="V123" s="2" t="s">
        <v>145</v>
      </c>
    </row>
    <row r="124">
      <c r="A124" s="2">
        <v>123</v>
      </c>
      <c r="B124" s="2" t="s">
        <v>192</v>
      </c>
      <c r="C124" s="2" t="s">
        <v>749</v>
      </c>
      <c r="D124" s="2" t="s">
        <v>572</v>
      </c>
      <c r="E124" s="2" t="s">
        <v>25</v>
      </c>
      <c r="F124" s="2" t="s">
        <v>26</v>
      </c>
      <c r="G124" s="2" t="s">
        <v>73</v>
      </c>
      <c r="H124" s="2" t="s">
        <v>45</v>
      </c>
      <c r="I124" s="2" t="s">
        <v>46</v>
      </c>
      <c r="J124" s="2" t="s">
        <v>676</v>
      </c>
      <c r="K124" s="2" t="s">
        <v>62</v>
      </c>
      <c r="L124" s="2" t="s">
        <v>33</v>
      </c>
      <c r="M124" s="2" t="s">
        <v>750</v>
      </c>
      <c r="N124" s="2" t="s">
        <v>751</v>
      </c>
      <c r="O124" s="2" t="s">
        <v>33</v>
      </c>
      <c r="P124" s="2" t="s">
        <v>752</v>
      </c>
      <c r="Q124" s="2" t="s">
        <v>25</v>
      </c>
      <c r="R124" s="2" t="s">
        <v>52</v>
      </c>
      <c r="S124" s="2" t="s">
        <v>753</v>
      </c>
      <c r="T124" s="2" t="s">
        <v>754</v>
      </c>
      <c r="U124" s="2" t="s">
        <v>755</v>
      </c>
      <c r="V124" s="2" t="s">
        <v>563</v>
      </c>
    </row>
    <row r="125">
      <c r="A125" s="2">
        <v>124</v>
      </c>
      <c r="B125" s="2" t="s">
        <v>41</v>
      </c>
      <c r="C125" s="2" t="s">
        <v>756</v>
      </c>
      <c r="D125" s="2" t="s">
        <v>572</v>
      </c>
      <c r="E125" s="2" t="s">
        <v>25</v>
      </c>
      <c r="F125" s="2" t="s">
        <v>26</v>
      </c>
      <c r="G125" s="2" t="s">
        <v>27</v>
      </c>
      <c r="H125" s="2" t="s">
        <v>45</v>
      </c>
      <c r="I125" s="2" t="s">
        <v>46</v>
      </c>
      <c r="J125" s="2" t="s">
        <v>84</v>
      </c>
      <c r="K125" s="2" t="s">
        <v>62</v>
      </c>
      <c r="L125" s="2" t="s">
        <v>33</v>
      </c>
      <c r="M125" s="2" t="s">
        <v>757</v>
      </c>
      <c r="N125" s="2" t="s">
        <v>758</v>
      </c>
      <c r="O125" s="2" t="s">
        <v>93</v>
      </c>
      <c r="P125" s="2" t="s">
        <v>759</v>
      </c>
      <c r="Q125" s="2" t="s">
        <v>25</v>
      </c>
      <c r="R125" s="2" t="s">
        <v>52</v>
      </c>
      <c r="S125" s="2" t="s">
        <v>760</v>
      </c>
      <c r="T125" s="2" t="s">
        <v>761</v>
      </c>
      <c r="U125" s="2" t="s">
        <v>762</v>
      </c>
      <c r="V125" s="2" t="s">
        <v>145</v>
      </c>
    </row>
    <row r="126">
      <c r="A126" s="2">
        <v>125</v>
      </c>
      <c r="B126" s="2" t="s">
        <v>131</v>
      </c>
      <c r="C126" s="2" t="s">
        <v>763</v>
      </c>
      <c r="D126" s="2" t="s">
        <v>572</v>
      </c>
      <c r="E126" s="2" t="s">
        <v>25</v>
      </c>
      <c r="F126" s="2" t="s">
        <v>26</v>
      </c>
      <c r="G126" s="2" t="s">
        <v>73</v>
      </c>
      <c r="H126" s="2" t="s">
        <v>45</v>
      </c>
      <c r="I126" s="2" t="s">
        <v>29</v>
      </c>
      <c r="J126" s="2" t="s">
        <v>112</v>
      </c>
      <c r="K126" s="2" t="s">
        <v>161</v>
      </c>
      <c r="L126" s="2" t="s">
        <v>139</v>
      </c>
      <c r="M126" s="2" t="s">
        <v>750</v>
      </c>
      <c r="N126" s="2" t="s">
        <v>34</v>
      </c>
      <c r="O126" s="2" t="s">
        <v>33</v>
      </c>
      <c r="P126" s="2" t="s">
        <v>76</v>
      </c>
      <c r="Q126" s="2" t="s">
        <v>25</v>
      </c>
      <c r="R126" s="2" t="s">
        <v>52</v>
      </c>
      <c r="S126" s="2" t="s">
        <v>764</v>
      </c>
      <c r="T126" s="2" t="s">
        <v>765</v>
      </c>
      <c r="U126" s="2" t="s">
        <v>766</v>
      </c>
      <c r="V126" s="2"/>
    </row>
    <row r="127">
      <c r="A127" s="2">
        <v>126</v>
      </c>
      <c r="B127" s="2" t="s">
        <v>239</v>
      </c>
      <c r="C127" s="2" t="s">
        <v>767</v>
      </c>
      <c r="D127" s="2" t="s">
        <v>572</v>
      </c>
      <c r="E127" s="2" t="s">
        <v>25</v>
      </c>
      <c r="F127" s="2" t="s">
        <v>26</v>
      </c>
      <c r="G127" s="2" t="s">
        <v>73</v>
      </c>
      <c r="H127" s="2" t="s">
        <v>45</v>
      </c>
      <c r="I127" s="2" t="s">
        <v>46</v>
      </c>
      <c r="J127" s="2" t="s">
        <v>527</v>
      </c>
      <c r="K127" s="2" t="s">
        <v>104</v>
      </c>
      <c r="L127" s="2" t="s">
        <v>33</v>
      </c>
      <c r="M127" s="2" t="s">
        <v>768</v>
      </c>
      <c r="N127" s="2" t="s">
        <v>769</v>
      </c>
      <c r="O127" s="2" t="s">
        <v>33</v>
      </c>
      <c r="P127" s="2" t="s">
        <v>770</v>
      </c>
      <c r="Q127" s="2" t="s">
        <v>25</v>
      </c>
      <c r="R127" s="2" t="s">
        <v>52</v>
      </c>
      <c r="S127" s="2" t="s">
        <v>172</v>
      </c>
      <c r="T127" s="2" t="s">
        <v>771</v>
      </c>
      <c r="U127" s="2" t="s">
        <v>772</v>
      </c>
      <c r="V127" s="2" t="s">
        <v>81</v>
      </c>
    </row>
    <row r="128">
      <c r="A128" s="2">
        <v>127</v>
      </c>
      <c r="B128" s="2" t="s">
        <v>117</v>
      </c>
      <c r="C128" s="2" t="s">
        <v>773</v>
      </c>
      <c r="D128" s="2" t="s">
        <v>572</v>
      </c>
      <c r="E128" s="2" t="s">
        <v>25</v>
      </c>
      <c r="F128" s="2" t="s">
        <v>58</v>
      </c>
      <c r="G128" s="2" t="s">
        <v>59</v>
      </c>
      <c r="H128" s="2" t="s">
        <v>60</v>
      </c>
      <c r="I128" s="2" t="s">
        <v>46</v>
      </c>
      <c r="J128" s="2" t="s">
        <v>112</v>
      </c>
      <c r="K128" s="2" t="s">
        <v>48</v>
      </c>
      <c r="L128" s="2" t="s">
        <v>139</v>
      </c>
      <c r="M128" s="2" t="s">
        <v>216</v>
      </c>
      <c r="N128" s="2" t="s">
        <v>170</v>
      </c>
      <c r="O128" s="2" t="s">
        <v>33</v>
      </c>
      <c r="P128" s="2" t="s">
        <v>774</v>
      </c>
      <c r="Q128" s="2" t="s">
        <v>25</v>
      </c>
      <c r="R128" s="2" t="s">
        <v>66</v>
      </c>
      <c r="S128" s="2" t="s">
        <v>358</v>
      </c>
      <c r="T128" s="2" t="s">
        <v>775</v>
      </c>
      <c r="U128" s="2" t="s">
        <v>776</v>
      </c>
      <c r="V128" s="2" t="s">
        <v>81</v>
      </c>
    </row>
    <row r="129">
      <c r="A129" s="2">
        <v>128</v>
      </c>
      <c r="B129" s="2" t="s">
        <v>117</v>
      </c>
      <c r="C129" s="2" t="s">
        <v>777</v>
      </c>
      <c r="D129" s="2" t="s">
        <v>572</v>
      </c>
      <c r="E129" s="2" t="s">
        <v>25</v>
      </c>
      <c r="F129" s="2" t="s">
        <v>58</v>
      </c>
      <c r="G129" s="2" t="s">
        <v>59</v>
      </c>
      <c r="H129" s="2" t="s">
        <v>60</v>
      </c>
      <c r="I129" s="2" t="s">
        <v>46</v>
      </c>
      <c r="J129" s="2" t="s">
        <v>112</v>
      </c>
      <c r="K129" s="2" t="s">
        <v>48</v>
      </c>
      <c r="L129" s="2" t="s">
        <v>33</v>
      </c>
      <c r="M129" s="2" t="s">
        <v>483</v>
      </c>
      <c r="N129" s="2" t="s">
        <v>119</v>
      </c>
      <c r="O129" s="2" t="s">
        <v>33</v>
      </c>
      <c r="P129" s="2" t="s">
        <v>778</v>
      </c>
      <c r="Q129" s="2" t="s">
        <v>25</v>
      </c>
      <c r="R129" s="2" t="s">
        <v>66</v>
      </c>
      <c r="S129" s="2" t="s">
        <v>779</v>
      </c>
      <c r="T129" s="2" t="s">
        <v>780</v>
      </c>
      <c r="U129" s="2" t="s">
        <v>781</v>
      </c>
      <c r="V129" s="2" t="s">
        <v>81</v>
      </c>
    </row>
    <row r="130">
      <c r="A130" s="2">
        <v>129</v>
      </c>
      <c r="B130" s="2" t="s">
        <v>117</v>
      </c>
      <c r="C130" s="2" t="s">
        <v>782</v>
      </c>
      <c r="D130" s="2" t="s">
        <v>572</v>
      </c>
      <c r="E130" s="2" t="s">
        <v>25</v>
      </c>
      <c r="F130" s="2" t="s">
        <v>26</v>
      </c>
      <c r="G130" s="2" t="s">
        <v>73</v>
      </c>
      <c r="H130" s="2" t="s">
        <v>45</v>
      </c>
      <c r="I130" s="2" t="s">
        <v>29</v>
      </c>
      <c r="J130" s="2" t="s">
        <v>84</v>
      </c>
      <c r="K130" s="2" t="s">
        <v>31</v>
      </c>
      <c r="L130" s="2" t="s">
        <v>33</v>
      </c>
      <c r="M130" s="2" t="s">
        <v>783</v>
      </c>
      <c r="N130" s="2" t="s">
        <v>34</v>
      </c>
      <c r="O130" s="2" t="s">
        <v>218</v>
      </c>
      <c r="P130" s="2" t="s">
        <v>784</v>
      </c>
      <c r="Q130" s="2" t="s">
        <v>25</v>
      </c>
      <c r="R130" s="2" t="s">
        <v>52</v>
      </c>
      <c r="S130" s="2" t="s">
        <v>785</v>
      </c>
      <c r="T130" s="2" t="s">
        <v>786</v>
      </c>
      <c r="U130" s="2" t="s">
        <v>787</v>
      </c>
      <c r="V130" s="2" t="s">
        <v>81</v>
      </c>
    </row>
    <row r="131">
      <c r="A131" s="2">
        <v>130</v>
      </c>
      <c r="B131" s="2" t="s">
        <v>41</v>
      </c>
      <c r="C131" s="2" t="s">
        <v>788</v>
      </c>
      <c r="D131" s="2" t="s">
        <v>572</v>
      </c>
      <c r="E131" s="2" t="s">
        <v>25</v>
      </c>
      <c r="F131" s="2" t="s">
        <v>26</v>
      </c>
      <c r="G131" s="2" t="s">
        <v>27</v>
      </c>
      <c r="H131" s="2" t="s">
        <v>45</v>
      </c>
      <c r="I131" s="2" t="s">
        <v>46</v>
      </c>
      <c r="J131" s="2" t="s">
        <v>580</v>
      </c>
      <c r="K131" s="2" t="s">
        <v>104</v>
      </c>
      <c r="L131" s="2" t="s">
        <v>33</v>
      </c>
      <c r="M131" s="2" t="s">
        <v>366</v>
      </c>
      <c r="N131" s="2" t="s">
        <v>566</v>
      </c>
      <c r="O131" s="2" t="s">
        <v>33</v>
      </c>
      <c r="P131" s="2" t="s">
        <v>789</v>
      </c>
      <c r="Q131" s="2" t="s">
        <v>25</v>
      </c>
      <c r="R131" s="2" t="s">
        <v>52</v>
      </c>
      <c r="S131" s="2" t="s">
        <v>422</v>
      </c>
      <c r="T131" s="2" t="s">
        <v>790</v>
      </c>
      <c r="U131" s="2" t="s">
        <v>791</v>
      </c>
      <c r="V131" s="2" t="s">
        <v>81</v>
      </c>
    </row>
    <row r="132">
      <c r="A132" s="2">
        <v>131</v>
      </c>
      <c r="B132" s="2" t="s">
        <v>56</v>
      </c>
      <c r="C132" s="2" t="s">
        <v>792</v>
      </c>
      <c r="D132" s="2" t="s">
        <v>572</v>
      </c>
      <c r="E132" s="2" t="s">
        <v>25</v>
      </c>
      <c r="F132" s="2" t="s">
        <v>26</v>
      </c>
      <c r="G132" s="2" t="s">
        <v>73</v>
      </c>
      <c r="H132" s="2" t="s">
        <v>45</v>
      </c>
      <c r="I132" s="2" t="s">
        <v>46</v>
      </c>
      <c r="J132" s="2" t="s">
        <v>112</v>
      </c>
      <c r="K132" s="2" t="s">
        <v>48</v>
      </c>
      <c r="L132" s="2" t="s">
        <v>139</v>
      </c>
      <c r="M132" s="2" t="s">
        <v>366</v>
      </c>
      <c r="N132" s="2" t="s">
        <v>86</v>
      </c>
      <c r="O132" s="2" t="s">
        <v>33</v>
      </c>
      <c r="P132" s="2" t="s">
        <v>793</v>
      </c>
      <c r="Q132" s="2" t="s">
        <v>25</v>
      </c>
      <c r="R132" s="2" t="s">
        <v>52</v>
      </c>
      <c r="S132" s="2" t="s">
        <v>794</v>
      </c>
      <c r="T132" s="2" t="s">
        <v>795</v>
      </c>
      <c r="U132" s="2" t="s">
        <v>796</v>
      </c>
      <c r="V132" s="2"/>
    </row>
    <row r="133">
      <c r="A133" s="2">
        <v>132</v>
      </c>
      <c r="B133" s="2" t="s">
        <v>131</v>
      </c>
      <c r="C133" s="2" t="s">
        <v>797</v>
      </c>
      <c r="D133" s="2" t="s">
        <v>572</v>
      </c>
      <c r="E133" s="2" t="s">
        <v>25</v>
      </c>
      <c r="F133" s="2" t="s">
        <v>26</v>
      </c>
      <c r="G133" s="2" t="s">
        <v>73</v>
      </c>
      <c r="H133" s="2" t="s">
        <v>45</v>
      </c>
      <c r="I133" s="2" t="s">
        <v>29</v>
      </c>
      <c r="J133" s="2" t="s">
        <v>112</v>
      </c>
      <c r="K133" s="2" t="s">
        <v>48</v>
      </c>
      <c r="L133" s="2" t="s">
        <v>139</v>
      </c>
      <c r="M133" s="2" t="s">
        <v>798</v>
      </c>
      <c r="N133" s="2" t="s">
        <v>799</v>
      </c>
      <c r="O133" s="2" t="s">
        <v>33</v>
      </c>
      <c r="P133" s="2" t="s">
        <v>76</v>
      </c>
      <c r="Q133" s="2" t="s">
        <v>25</v>
      </c>
      <c r="R133" s="2" t="s">
        <v>52</v>
      </c>
      <c r="S133" s="2" t="s">
        <v>67</v>
      </c>
      <c r="T133" s="2" t="s">
        <v>800</v>
      </c>
      <c r="U133" s="2" t="s">
        <v>801</v>
      </c>
      <c r="V133" s="2" t="s">
        <v>563</v>
      </c>
    </row>
    <row r="134">
      <c r="A134" s="2">
        <v>133</v>
      </c>
      <c r="B134" s="2" t="s">
        <v>117</v>
      </c>
      <c r="C134" s="2" t="s">
        <v>802</v>
      </c>
      <c r="D134" s="2" t="s">
        <v>572</v>
      </c>
      <c r="E134" s="2" t="s">
        <v>25</v>
      </c>
      <c r="F134" s="2" t="s">
        <v>26</v>
      </c>
      <c r="G134" s="2" t="s">
        <v>27</v>
      </c>
      <c r="H134" s="2" t="s">
        <v>45</v>
      </c>
      <c r="I134" s="2" t="s">
        <v>29</v>
      </c>
      <c r="J134" s="2" t="s">
        <v>84</v>
      </c>
      <c r="K134" s="2" t="s">
        <v>161</v>
      </c>
      <c r="L134" s="2" t="s">
        <v>33</v>
      </c>
      <c r="M134" s="2" t="s">
        <v>63</v>
      </c>
      <c r="N134" s="2" t="s">
        <v>803</v>
      </c>
      <c r="O134" s="2" t="s">
        <v>33</v>
      </c>
      <c r="P134" s="2" t="s">
        <v>804</v>
      </c>
      <c r="Q134" s="2" t="s">
        <v>25</v>
      </c>
      <c r="R134" s="2" t="s">
        <v>52</v>
      </c>
      <c r="S134" s="2" t="s">
        <v>805</v>
      </c>
      <c r="T134" s="2" t="s">
        <v>806</v>
      </c>
      <c r="U134" s="2" t="s">
        <v>807</v>
      </c>
      <c r="V134" s="2"/>
    </row>
    <row r="135">
      <c r="A135" s="2">
        <v>134</v>
      </c>
      <c r="B135" s="2" t="s">
        <v>70</v>
      </c>
      <c r="C135" s="2" t="s">
        <v>808</v>
      </c>
      <c r="D135" s="2" t="s">
        <v>572</v>
      </c>
      <c r="E135" s="2" t="s">
        <v>25</v>
      </c>
      <c r="F135" s="2" t="s">
        <v>26</v>
      </c>
      <c r="G135" s="2" t="s">
        <v>27</v>
      </c>
      <c r="H135" s="2" t="s">
        <v>45</v>
      </c>
      <c r="I135" s="2" t="s">
        <v>46</v>
      </c>
      <c r="J135" s="2" t="s">
        <v>112</v>
      </c>
      <c r="K135" s="2" t="s">
        <v>104</v>
      </c>
      <c r="L135" s="2" t="s">
        <v>139</v>
      </c>
      <c r="M135" s="2" t="s">
        <v>366</v>
      </c>
      <c r="N135" s="2" t="s">
        <v>809</v>
      </c>
      <c r="O135" s="2" t="s">
        <v>33</v>
      </c>
      <c r="P135" s="2" t="s">
        <v>810</v>
      </c>
      <c r="Q135" s="2" t="s">
        <v>25</v>
      </c>
      <c r="R135" s="2" t="s">
        <v>52</v>
      </c>
      <c r="S135" s="2" t="s">
        <v>142</v>
      </c>
      <c r="T135" s="2" t="s">
        <v>811</v>
      </c>
      <c r="U135" s="2" t="s">
        <v>812</v>
      </c>
      <c r="V135" s="2" t="s">
        <v>81</v>
      </c>
    </row>
    <row r="136">
      <c r="A136" s="2">
        <v>135</v>
      </c>
      <c r="B136" s="2" t="s">
        <v>117</v>
      </c>
      <c r="C136" s="2" t="s">
        <v>813</v>
      </c>
      <c r="D136" s="2" t="s">
        <v>572</v>
      </c>
      <c r="E136" s="2" t="s">
        <v>25</v>
      </c>
      <c r="F136" s="2" t="s">
        <v>26</v>
      </c>
      <c r="G136" s="2" t="s">
        <v>73</v>
      </c>
      <c r="H136" s="2" t="s">
        <v>45</v>
      </c>
      <c r="I136" s="2" t="s">
        <v>29</v>
      </c>
      <c r="J136" s="2" t="s">
        <v>112</v>
      </c>
      <c r="K136" s="2" t="s">
        <v>161</v>
      </c>
      <c r="L136" s="2" t="s">
        <v>139</v>
      </c>
      <c r="M136" s="2" t="s">
        <v>544</v>
      </c>
      <c r="N136" s="2" t="s">
        <v>515</v>
      </c>
      <c r="O136" s="2" t="s">
        <v>33</v>
      </c>
      <c r="P136" s="2" t="s">
        <v>814</v>
      </c>
      <c r="Q136" s="2" t="s">
        <v>25</v>
      </c>
      <c r="R136" s="2" t="s">
        <v>52</v>
      </c>
      <c r="S136" s="2" t="s">
        <v>815</v>
      </c>
      <c r="T136" s="2" t="s">
        <v>816</v>
      </c>
      <c r="U136" s="2" t="s">
        <v>817</v>
      </c>
      <c r="V136" s="2" t="s">
        <v>152</v>
      </c>
    </row>
    <row r="137">
      <c r="A137" s="2">
        <v>136</v>
      </c>
      <c r="B137" s="2" t="s">
        <v>41</v>
      </c>
      <c r="C137" s="2" t="s">
        <v>818</v>
      </c>
      <c r="D137" s="2" t="s">
        <v>572</v>
      </c>
      <c r="E137" s="2" t="s">
        <v>25</v>
      </c>
      <c r="F137" s="2" t="s">
        <v>26</v>
      </c>
      <c r="G137" s="2" t="s">
        <v>73</v>
      </c>
      <c r="H137" s="2" t="s">
        <v>45</v>
      </c>
      <c r="I137" s="2" t="s">
        <v>29</v>
      </c>
      <c r="J137" s="2" t="s">
        <v>61</v>
      </c>
      <c r="K137" s="2" t="s">
        <v>62</v>
      </c>
      <c r="L137" s="2" t="s">
        <v>33</v>
      </c>
      <c r="M137" s="2" t="s">
        <v>819</v>
      </c>
      <c r="N137" s="2" t="s">
        <v>820</v>
      </c>
      <c r="O137" s="2" t="s">
        <v>33</v>
      </c>
      <c r="P137" s="2" t="s">
        <v>76</v>
      </c>
      <c r="Q137" s="2" t="s">
        <v>25</v>
      </c>
      <c r="R137" s="2" t="s">
        <v>52</v>
      </c>
      <c r="S137" s="2" t="s">
        <v>194</v>
      </c>
      <c r="T137" s="2" t="s">
        <v>821</v>
      </c>
      <c r="U137" s="2" t="s">
        <v>822</v>
      </c>
      <c r="V137" s="2" t="s">
        <v>145</v>
      </c>
    </row>
    <row r="138">
      <c r="A138" s="2">
        <v>137</v>
      </c>
      <c r="B138" s="2" t="s">
        <v>56</v>
      </c>
      <c r="C138" s="2" t="s">
        <v>823</v>
      </c>
      <c r="D138" s="2" t="s">
        <v>572</v>
      </c>
      <c r="E138" s="2" t="s">
        <v>25</v>
      </c>
      <c r="F138" s="2" t="s">
        <v>26</v>
      </c>
      <c r="G138" s="2" t="s">
        <v>27</v>
      </c>
      <c r="H138" s="2" t="s">
        <v>45</v>
      </c>
      <c r="I138" s="2" t="s">
        <v>29</v>
      </c>
      <c r="J138" s="2" t="s">
        <v>61</v>
      </c>
      <c r="K138" s="2" t="s">
        <v>48</v>
      </c>
      <c r="L138" s="2" t="s">
        <v>33</v>
      </c>
      <c r="M138" s="2" t="s">
        <v>33</v>
      </c>
      <c r="N138" s="2" t="s">
        <v>34</v>
      </c>
      <c r="O138" s="2" t="s">
        <v>33</v>
      </c>
      <c r="P138" s="2" t="s">
        <v>76</v>
      </c>
      <c r="Q138" s="2" t="s">
        <v>25</v>
      </c>
      <c r="R138" s="2" t="s">
        <v>52</v>
      </c>
      <c r="S138" s="2" t="s">
        <v>149</v>
      </c>
      <c r="T138" s="2" t="s">
        <v>824</v>
      </c>
      <c r="U138" s="2" t="s">
        <v>825</v>
      </c>
      <c r="V138" s="2" t="s">
        <v>191</v>
      </c>
    </row>
    <row r="139">
      <c r="A139" s="2">
        <v>138</v>
      </c>
      <c r="B139" s="2" t="s">
        <v>41</v>
      </c>
      <c r="C139" s="2" t="s">
        <v>826</v>
      </c>
      <c r="D139" s="2" t="s">
        <v>572</v>
      </c>
      <c r="E139" s="2" t="s">
        <v>25</v>
      </c>
      <c r="F139" s="2" t="s">
        <v>26</v>
      </c>
      <c r="G139" s="2" t="s">
        <v>73</v>
      </c>
      <c r="H139" s="2" t="s">
        <v>45</v>
      </c>
      <c r="I139" s="2" t="s">
        <v>29</v>
      </c>
      <c r="J139" s="2" t="s">
        <v>112</v>
      </c>
      <c r="K139" s="2" t="s">
        <v>62</v>
      </c>
      <c r="L139" s="2" t="s">
        <v>827</v>
      </c>
      <c r="M139" s="2" t="s">
        <v>63</v>
      </c>
      <c r="N139" s="2" t="s">
        <v>828</v>
      </c>
      <c r="O139" s="2" t="s">
        <v>33</v>
      </c>
      <c r="P139" s="2" t="s">
        <v>829</v>
      </c>
      <c r="Q139" s="2" t="s">
        <v>25</v>
      </c>
      <c r="R139" s="2" t="s">
        <v>52</v>
      </c>
      <c r="S139" s="2" t="s">
        <v>830</v>
      </c>
      <c r="T139" s="2" t="s">
        <v>831</v>
      </c>
      <c r="U139" s="2" t="s">
        <v>832</v>
      </c>
      <c r="V139" s="2"/>
    </row>
    <row r="140">
      <c r="A140" s="2">
        <v>139</v>
      </c>
      <c r="B140" s="2" t="s">
        <v>41</v>
      </c>
      <c r="C140" s="2" t="s">
        <v>833</v>
      </c>
      <c r="D140" s="2" t="s">
        <v>572</v>
      </c>
      <c r="E140" s="2" t="s">
        <v>25</v>
      </c>
      <c r="F140" s="2" t="s">
        <v>26</v>
      </c>
      <c r="G140" s="2" t="s">
        <v>73</v>
      </c>
      <c r="H140" s="2" t="s">
        <v>45</v>
      </c>
      <c r="I140" s="2" t="s">
        <v>29</v>
      </c>
      <c r="J140" s="2" t="s">
        <v>112</v>
      </c>
      <c r="K140" s="2" t="s">
        <v>48</v>
      </c>
      <c r="L140" s="2" t="s">
        <v>139</v>
      </c>
      <c r="M140" s="2" t="s">
        <v>258</v>
      </c>
      <c r="N140" s="2" t="s">
        <v>834</v>
      </c>
      <c r="O140" s="2" t="s">
        <v>218</v>
      </c>
      <c r="P140" s="2" t="s">
        <v>835</v>
      </c>
      <c r="Q140" s="2" t="s">
        <v>25</v>
      </c>
      <c r="R140" s="2" t="s">
        <v>52</v>
      </c>
      <c r="S140" s="2" t="s">
        <v>836</v>
      </c>
      <c r="T140" s="2" t="s">
        <v>837</v>
      </c>
      <c r="U140" s="2" t="s">
        <v>838</v>
      </c>
      <c r="V140" s="2"/>
    </row>
    <row r="141">
      <c r="A141" s="2">
        <v>140</v>
      </c>
      <c r="B141" s="2" t="s">
        <v>110</v>
      </c>
      <c r="C141" s="2" t="s">
        <v>839</v>
      </c>
      <c r="D141" s="2" t="s">
        <v>572</v>
      </c>
      <c r="E141" s="2" t="s">
        <v>25</v>
      </c>
      <c r="F141" s="2" t="s">
        <v>26</v>
      </c>
      <c r="G141" s="2" t="s">
        <v>73</v>
      </c>
      <c r="H141" s="2" t="s">
        <v>45</v>
      </c>
      <c r="I141" s="2" t="s">
        <v>46</v>
      </c>
      <c r="J141" s="2" t="s">
        <v>580</v>
      </c>
      <c r="K141" s="2" t="s">
        <v>48</v>
      </c>
      <c r="L141" s="2" t="s">
        <v>33</v>
      </c>
      <c r="M141" s="2" t="s">
        <v>366</v>
      </c>
      <c r="N141" s="2" t="s">
        <v>545</v>
      </c>
      <c r="O141" s="2" t="s">
        <v>218</v>
      </c>
      <c r="P141" s="2" t="s">
        <v>840</v>
      </c>
      <c r="Q141" s="2" t="s">
        <v>25</v>
      </c>
      <c r="R141" s="2" t="s">
        <v>52</v>
      </c>
      <c r="S141" s="2" t="s">
        <v>841</v>
      </c>
      <c r="T141" s="2" t="s">
        <v>842</v>
      </c>
      <c r="U141" s="2" t="s">
        <v>843</v>
      </c>
      <c r="V141" s="2"/>
    </row>
    <row r="142">
      <c r="A142" s="2">
        <v>141</v>
      </c>
      <c r="B142" s="2" t="s">
        <v>41</v>
      </c>
      <c r="C142" s="2" t="s">
        <v>844</v>
      </c>
      <c r="D142" s="2" t="s">
        <v>572</v>
      </c>
      <c r="E142" s="2" t="s">
        <v>25</v>
      </c>
      <c r="F142" s="2" t="s">
        <v>26</v>
      </c>
      <c r="G142" s="2" t="s">
        <v>73</v>
      </c>
      <c r="H142" s="2" t="s">
        <v>45</v>
      </c>
      <c r="I142" s="2" t="s">
        <v>176</v>
      </c>
      <c r="J142" s="2" t="s">
        <v>47</v>
      </c>
      <c r="K142" s="2" t="s">
        <v>48</v>
      </c>
      <c r="L142" s="2" t="s">
        <v>33</v>
      </c>
      <c r="M142" s="2" t="s">
        <v>845</v>
      </c>
      <c r="N142" s="2" t="s">
        <v>846</v>
      </c>
      <c r="O142" s="2" t="s">
        <v>218</v>
      </c>
      <c r="P142" s="2" t="s">
        <v>76</v>
      </c>
      <c r="Q142" s="2" t="s">
        <v>181</v>
      </c>
      <c r="R142" s="2" t="s">
        <v>52</v>
      </c>
      <c r="S142" s="2" t="s">
        <v>705</v>
      </c>
      <c r="T142" s="2" t="s">
        <v>847</v>
      </c>
      <c r="U142" s="2" t="s">
        <v>848</v>
      </c>
      <c r="V142" s="2"/>
    </row>
    <row r="143">
      <c r="A143" s="2">
        <v>142</v>
      </c>
      <c r="B143" s="2" t="s">
        <v>117</v>
      </c>
      <c r="C143" s="2" t="s">
        <v>849</v>
      </c>
      <c r="D143" s="2" t="s">
        <v>572</v>
      </c>
      <c r="E143" s="2" t="s">
        <v>25</v>
      </c>
      <c r="F143" s="2" t="s">
        <v>26</v>
      </c>
      <c r="G143" s="2" t="s">
        <v>27</v>
      </c>
      <c r="H143" s="2" t="s">
        <v>45</v>
      </c>
      <c r="I143" s="2" t="s">
        <v>46</v>
      </c>
      <c r="J143" s="2" t="s">
        <v>84</v>
      </c>
      <c r="K143" s="2" t="s">
        <v>161</v>
      </c>
      <c r="L143" s="2" t="s">
        <v>33</v>
      </c>
      <c r="M143" s="2" t="s">
        <v>590</v>
      </c>
      <c r="N143" s="2" t="s">
        <v>489</v>
      </c>
      <c r="O143" s="2" t="s">
        <v>33</v>
      </c>
      <c r="P143" s="2" t="s">
        <v>850</v>
      </c>
      <c r="Q143" s="2" t="s">
        <v>25</v>
      </c>
      <c r="R143" s="2" t="s">
        <v>52</v>
      </c>
      <c r="S143" s="2" t="s">
        <v>851</v>
      </c>
      <c r="T143" s="2" t="s">
        <v>852</v>
      </c>
      <c r="U143" s="2" t="s">
        <v>853</v>
      </c>
      <c r="V143" s="2"/>
    </row>
    <row r="144">
      <c r="A144" s="2">
        <v>143</v>
      </c>
      <c r="B144" s="2" t="s">
        <v>192</v>
      </c>
      <c r="C144" s="2" t="s">
        <v>854</v>
      </c>
      <c r="D144" s="2" t="s">
        <v>572</v>
      </c>
      <c r="E144" s="2" t="s">
        <v>25</v>
      </c>
      <c r="F144" s="2" t="s">
        <v>26</v>
      </c>
      <c r="G144" s="2" t="s">
        <v>73</v>
      </c>
      <c r="H144" s="2" t="s">
        <v>45</v>
      </c>
      <c r="I144" s="2" t="s">
        <v>29</v>
      </c>
      <c r="J144" s="2" t="s">
        <v>580</v>
      </c>
      <c r="K144" s="2" t="s">
        <v>104</v>
      </c>
      <c r="L144" s="2" t="s">
        <v>33</v>
      </c>
      <c r="M144" s="2" t="s">
        <v>855</v>
      </c>
      <c r="N144" s="2" t="s">
        <v>373</v>
      </c>
      <c r="O144" s="2" t="s">
        <v>33</v>
      </c>
      <c r="P144" s="2" t="s">
        <v>856</v>
      </c>
      <c r="Q144" s="2" t="s">
        <v>25</v>
      </c>
      <c r="R144" s="2" t="s">
        <v>52</v>
      </c>
      <c r="S144" s="2" t="s">
        <v>382</v>
      </c>
      <c r="T144" s="2" t="s">
        <v>857</v>
      </c>
      <c r="U144" s="2" t="s">
        <v>858</v>
      </c>
      <c r="V144" s="2" t="s">
        <v>81</v>
      </c>
    </row>
    <row r="145">
      <c r="A145" s="2">
        <v>144</v>
      </c>
      <c r="B145" s="2" t="s">
        <v>117</v>
      </c>
      <c r="C145" s="2" t="s">
        <v>859</v>
      </c>
      <c r="D145" s="2" t="s">
        <v>572</v>
      </c>
      <c r="E145" s="2" t="s">
        <v>25</v>
      </c>
      <c r="F145" s="2" t="s">
        <v>26</v>
      </c>
      <c r="G145" s="2" t="s">
        <v>27</v>
      </c>
      <c r="H145" s="2" t="s">
        <v>45</v>
      </c>
      <c r="I145" s="2" t="s">
        <v>46</v>
      </c>
      <c r="J145" s="2" t="s">
        <v>84</v>
      </c>
      <c r="K145" s="2" t="s">
        <v>48</v>
      </c>
      <c r="L145" s="2" t="s">
        <v>33</v>
      </c>
      <c r="M145" s="2" t="s">
        <v>488</v>
      </c>
      <c r="N145" s="2" t="s">
        <v>217</v>
      </c>
      <c r="O145" s="2" t="s">
        <v>35</v>
      </c>
      <c r="P145" s="2" t="s">
        <v>860</v>
      </c>
      <c r="Q145" s="2" t="s">
        <v>25</v>
      </c>
      <c r="R145" s="2" t="s">
        <v>52</v>
      </c>
      <c r="S145" s="2" t="s">
        <v>107</v>
      </c>
      <c r="T145" s="2" t="s">
        <v>861</v>
      </c>
      <c r="U145" s="2" t="s">
        <v>862</v>
      </c>
      <c r="V145" s="2"/>
    </row>
    <row r="146">
      <c r="A146" s="2">
        <v>145</v>
      </c>
      <c r="B146" s="2" t="s">
        <v>41</v>
      </c>
      <c r="C146" s="2" t="s">
        <v>863</v>
      </c>
      <c r="D146" s="2" t="s">
        <v>572</v>
      </c>
      <c r="E146" s="2" t="s">
        <v>25</v>
      </c>
      <c r="F146" s="2" t="s">
        <v>26</v>
      </c>
      <c r="G146" s="2" t="s">
        <v>27</v>
      </c>
      <c r="H146" s="2" t="s">
        <v>45</v>
      </c>
      <c r="I146" s="2" t="s">
        <v>29</v>
      </c>
      <c r="J146" s="2" t="s">
        <v>112</v>
      </c>
      <c r="K146" s="2" t="s">
        <v>161</v>
      </c>
      <c r="L146" s="2" t="s">
        <v>33</v>
      </c>
      <c r="M146" s="2" t="s">
        <v>768</v>
      </c>
      <c r="N146" s="2" t="s">
        <v>186</v>
      </c>
      <c r="O146" s="2" t="s">
        <v>93</v>
      </c>
      <c r="P146" s="2" t="s">
        <v>864</v>
      </c>
      <c r="Q146" s="2" t="s">
        <v>25</v>
      </c>
      <c r="R146" s="2" t="s">
        <v>52</v>
      </c>
      <c r="S146" s="2" t="s">
        <v>865</v>
      </c>
      <c r="T146" s="2" t="s">
        <v>866</v>
      </c>
      <c r="U146" s="2" t="s">
        <v>867</v>
      </c>
      <c r="V146" s="2" t="s">
        <v>145</v>
      </c>
    </row>
    <row r="147">
      <c r="A147" s="2">
        <v>146</v>
      </c>
      <c r="B147" s="2" t="s">
        <v>110</v>
      </c>
      <c r="C147" s="2" t="s">
        <v>868</v>
      </c>
      <c r="D147" s="2" t="s">
        <v>572</v>
      </c>
      <c r="E147" s="2" t="s">
        <v>25</v>
      </c>
      <c r="F147" s="2" t="s">
        <v>26</v>
      </c>
      <c r="G147" s="2" t="s">
        <v>27</v>
      </c>
      <c r="H147" s="2" t="s">
        <v>45</v>
      </c>
      <c r="I147" s="2" t="s">
        <v>29</v>
      </c>
      <c r="J147" s="2" t="s">
        <v>112</v>
      </c>
      <c r="K147" s="2" t="s">
        <v>48</v>
      </c>
      <c r="L147" s="2" t="s">
        <v>139</v>
      </c>
      <c r="M147" s="2" t="s">
        <v>372</v>
      </c>
      <c r="N147" s="2" t="s">
        <v>515</v>
      </c>
      <c r="O147" s="2" t="s">
        <v>93</v>
      </c>
      <c r="P147" s="2" t="s">
        <v>76</v>
      </c>
      <c r="Q147" s="2" t="s">
        <v>25</v>
      </c>
      <c r="R147" s="2" t="s">
        <v>52</v>
      </c>
      <c r="S147" s="2" t="s">
        <v>422</v>
      </c>
      <c r="T147" s="2" t="s">
        <v>869</v>
      </c>
      <c r="U147" s="2" t="s">
        <v>870</v>
      </c>
      <c r="V147" s="2" t="s">
        <v>81</v>
      </c>
    </row>
    <row r="148">
      <c r="A148" s="2">
        <v>147</v>
      </c>
      <c r="B148" s="2" t="s">
        <v>117</v>
      </c>
      <c r="C148" s="2" t="s">
        <v>871</v>
      </c>
      <c r="D148" s="2" t="s">
        <v>572</v>
      </c>
      <c r="E148" s="2" t="s">
        <v>25</v>
      </c>
      <c r="F148" s="2" t="s">
        <v>26</v>
      </c>
      <c r="G148" s="2" t="s">
        <v>27</v>
      </c>
      <c r="H148" s="2" t="s">
        <v>45</v>
      </c>
      <c r="I148" s="2" t="s">
        <v>29</v>
      </c>
      <c r="J148" s="2" t="s">
        <v>872</v>
      </c>
      <c r="K148" s="2" t="s">
        <v>62</v>
      </c>
      <c r="L148" s="2" t="s">
        <v>638</v>
      </c>
      <c r="M148" s="2" t="s">
        <v>33</v>
      </c>
      <c r="N148" s="2" t="s">
        <v>273</v>
      </c>
      <c r="O148" s="2" t="s">
        <v>35</v>
      </c>
      <c r="P148" s="2" t="s">
        <v>873</v>
      </c>
      <c r="Q148" s="2" t="s">
        <v>25</v>
      </c>
      <c r="R148" s="2" t="s">
        <v>52</v>
      </c>
      <c r="S148" s="2" t="s">
        <v>874</v>
      </c>
      <c r="T148" s="2" t="s">
        <v>875</v>
      </c>
      <c r="U148" s="2" t="s">
        <v>876</v>
      </c>
      <c r="V148" s="2"/>
    </row>
    <row r="149">
      <c r="A149" s="2">
        <v>148</v>
      </c>
      <c r="B149" s="2" t="s">
        <v>117</v>
      </c>
      <c r="C149" s="2" t="s">
        <v>877</v>
      </c>
      <c r="D149" s="2" t="s">
        <v>572</v>
      </c>
      <c r="E149" s="2" t="s">
        <v>25</v>
      </c>
      <c r="F149" s="2" t="s">
        <v>26</v>
      </c>
      <c r="G149" s="2" t="s">
        <v>73</v>
      </c>
      <c r="H149" s="2" t="s">
        <v>45</v>
      </c>
      <c r="I149" s="2" t="s">
        <v>29</v>
      </c>
      <c r="J149" s="2" t="s">
        <v>47</v>
      </c>
      <c r="K149" s="2" t="s">
        <v>62</v>
      </c>
      <c r="L149" s="2" t="s">
        <v>33</v>
      </c>
      <c r="M149" s="2" t="s">
        <v>483</v>
      </c>
      <c r="N149" s="2" t="s">
        <v>878</v>
      </c>
      <c r="O149" s="2" t="s">
        <v>33</v>
      </c>
      <c r="P149" s="2" t="s">
        <v>879</v>
      </c>
      <c r="Q149" s="2" t="s">
        <v>25</v>
      </c>
      <c r="R149" s="2" t="s">
        <v>52</v>
      </c>
      <c r="S149" s="2" t="s">
        <v>67</v>
      </c>
      <c r="T149" s="2" t="s">
        <v>880</v>
      </c>
      <c r="U149" s="2" t="s">
        <v>881</v>
      </c>
      <c r="V149" s="2" t="s">
        <v>191</v>
      </c>
    </row>
    <row r="150">
      <c r="A150" s="2">
        <v>149</v>
      </c>
      <c r="B150" s="2" t="s">
        <v>56</v>
      </c>
      <c r="C150" s="2" t="s">
        <v>882</v>
      </c>
      <c r="D150" s="2" t="s">
        <v>572</v>
      </c>
      <c r="E150" s="2" t="s">
        <v>25</v>
      </c>
      <c r="F150" s="2" t="s">
        <v>26</v>
      </c>
      <c r="G150" s="2" t="s">
        <v>73</v>
      </c>
      <c r="H150" s="2" t="s">
        <v>45</v>
      </c>
      <c r="I150" s="2" t="s">
        <v>29</v>
      </c>
      <c r="J150" s="2" t="s">
        <v>112</v>
      </c>
      <c r="K150" s="2" t="s">
        <v>62</v>
      </c>
      <c r="L150" s="2" t="s">
        <v>638</v>
      </c>
      <c r="M150" s="2" t="s">
        <v>178</v>
      </c>
      <c r="N150" s="2" t="s">
        <v>34</v>
      </c>
      <c r="O150" s="2" t="s">
        <v>33</v>
      </c>
      <c r="P150" s="2" t="s">
        <v>883</v>
      </c>
      <c r="Q150" s="2" t="s">
        <v>25</v>
      </c>
      <c r="R150" s="2" t="s">
        <v>52</v>
      </c>
      <c r="S150" s="2" t="s">
        <v>67</v>
      </c>
      <c r="T150" s="2" t="s">
        <v>884</v>
      </c>
      <c r="U150" s="2" t="s">
        <v>885</v>
      </c>
      <c r="V150" s="2"/>
    </row>
    <row r="151">
      <c r="A151" s="2">
        <v>150</v>
      </c>
      <c r="B151" s="2" t="s">
        <v>117</v>
      </c>
      <c r="C151" s="2" t="s">
        <v>886</v>
      </c>
      <c r="D151" s="2" t="s">
        <v>572</v>
      </c>
      <c r="E151" s="2" t="s">
        <v>25</v>
      </c>
      <c r="F151" s="2" t="s">
        <v>26</v>
      </c>
      <c r="G151" s="2" t="s">
        <v>27</v>
      </c>
      <c r="H151" s="2" t="s">
        <v>45</v>
      </c>
      <c r="I151" s="2" t="s">
        <v>29</v>
      </c>
      <c r="J151" s="2" t="s">
        <v>527</v>
      </c>
      <c r="K151" s="2" t="s">
        <v>104</v>
      </c>
      <c r="L151" s="2" t="s">
        <v>33</v>
      </c>
      <c r="M151" s="2" t="s">
        <v>63</v>
      </c>
      <c r="N151" s="2" t="s">
        <v>887</v>
      </c>
      <c r="O151" s="2" t="s">
        <v>33</v>
      </c>
      <c r="P151" s="2" t="s">
        <v>888</v>
      </c>
      <c r="Q151" s="2" t="s">
        <v>25</v>
      </c>
      <c r="R151" s="2" t="s">
        <v>52</v>
      </c>
      <c r="S151" s="2" t="s">
        <v>889</v>
      </c>
      <c r="T151" s="2" t="s">
        <v>890</v>
      </c>
      <c r="U151" s="2" t="s">
        <v>891</v>
      </c>
      <c r="V151" s="2"/>
    </row>
    <row r="152">
      <c r="A152" s="2">
        <v>151</v>
      </c>
      <c r="B152" s="2" t="s">
        <v>82</v>
      </c>
      <c r="C152" s="2" t="s">
        <v>892</v>
      </c>
      <c r="D152" s="2" t="s">
        <v>572</v>
      </c>
      <c r="E152" s="2" t="s">
        <v>25</v>
      </c>
      <c r="F152" s="2" t="s">
        <v>26</v>
      </c>
      <c r="G152" s="2" t="s">
        <v>73</v>
      </c>
      <c r="H152" s="2" t="s">
        <v>45</v>
      </c>
      <c r="I152" s="2" t="s">
        <v>46</v>
      </c>
      <c r="J152" s="2" t="s">
        <v>271</v>
      </c>
      <c r="K152" s="2" t="s">
        <v>62</v>
      </c>
      <c r="L152" s="2" t="s">
        <v>893</v>
      </c>
      <c r="M152" s="2" t="s">
        <v>63</v>
      </c>
      <c r="N152" s="2" t="s">
        <v>279</v>
      </c>
      <c r="O152" s="2" t="s">
        <v>33</v>
      </c>
      <c r="P152" s="2" t="s">
        <v>76</v>
      </c>
      <c r="Q152" s="2" t="s">
        <v>25</v>
      </c>
      <c r="R152" s="2" t="s">
        <v>52</v>
      </c>
      <c r="S152" s="2" t="s">
        <v>397</v>
      </c>
      <c r="T152" s="2" t="s">
        <v>894</v>
      </c>
      <c r="U152" s="2" t="s">
        <v>895</v>
      </c>
      <c r="V152" s="2"/>
    </row>
    <row r="153">
      <c r="A153" s="2">
        <v>152</v>
      </c>
      <c r="B153" s="2" t="s">
        <v>56</v>
      </c>
      <c r="C153" s="2" t="s">
        <v>896</v>
      </c>
      <c r="D153" s="2" t="s">
        <v>572</v>
      </c>
      <c r="E153" s="2" t="s">
        <v>25</v>
      </c>
      <c r="F153" s="2" t="s">
        <v>26</v>
      </c>
      <c r="G153" s="2" t="s">
        <v>27</v>
      </c>
      <c r="H153" s="2" t="s">
        <v>45</v>
      </c>
      <c r="I153" s="2" t="s">
        <v>46</v>
      </c>
      <c r="J153" s="2" t="s">
        <v>47</v>
      </c>
      <c r="K153" s="2" t="s">
        <v>48</v>
      </c>
      <c r="L153" s="2" t="s">
        <v>897</v>
      </c>
      <c r="M153" s="2" t="s">
        <v>898</v>
      </c>
      <c r="N153" s="2" t="s">
        <v>34</v>
      </c>
      <c r="O153" s="2" t="s">
        <v>33</v>
      </c>
      <c r="P153" s="2" t="s">
        <v>899</v>
      </c>
      <c r="Q153" s="2" t="s">
        <v>25</v>
      </c>
      <c r="R153" s="2" t="s">
        <v>52</v>
      </c>
      <c r="S153" s="2" t="s">
        <v>78</v>
      </c>
      <c r="T153" s="2" t="s">
        <v>900</v>
      </c>
      <c r="U153" s="2" t="s">
        <v>901</v>
      </c>
      <c r="V153" s="2" t="s">
        <v>81</v>
      </c>
    </row>
    <row r="154">
      <c r="A154" s="2">
        <v>153</v>
      </c>
      <c r="B154" s="2" t="s">
        <v>239</v>
      </c>
      <c r="C154" s="2" t="s">
        <v>902</v>
      </c>
      <c r="D154" s="2" t="s">
        <v>572</v>
      </c>
      <c r="E154" s="2" t="s">
        <v>25</v>
      </c>
      <c r="F154" s="2" t="s">
        <v>26</v>
      </c>
      <c r="G154" s="2" t="s">
        <v>27</v>
      </c>
      <c r="H154" s="2" t="s">
        <v>45</v>
      </c>
      <c r="I154" s="2" t="s">
        <v>29</v>
      </c>
      <c r="J154" s="2" t="s">
        <v>112</v>
      </c>
      <c r="K154" s="2" t="s">
        <v>48</v>
      </c>
      <c r="L154" s="2" t="s">
        <v>903</v>
      </c>
      <c r="M154" s="2" t="s">
        <v>63</v>
      </c>
      <c r="N154" s="2" t="s">
        <v>373</v>
      </c>
      <c r="O154" s="2" t="s">
        <v>33</v>
      </c>
      <c r="P154" s="2" t="s">
        <v>76</v>
      </c>
      <c r="Q154" s="2" t="s">
        <v>25</v>
      </c>
      <c r="R154" s="2" t="s">
        <v>52</v>
      </c>
      <c r="S154" s="2" t="s">
        <v>904</v>
      </c>
      <c r="T154" s="2" t="s">
        <v>905</v>
      </c>
      <c r="U154" s="2" t="s">
        <v>906</v>
      </c>
      <c r="V154" s="2" t="s">
        <v>81</v>
      </c>
    </row>
    <row r="155">
      <c r="A155" s="2">
        <v>154</v>
      </c>
      <c r="B155" s="2" t="s">
        <v>117</v>
      </c>
      <c r="C155" s="2" t="s">
        <v>907</v>
      </c>
      <c r="D155" s="2" t="s">
        <v>572</v>
      </c>
      <c r="E155" s="2" t="s">
        <v>25</v>
      </c>
      <c r="F155" s="2" t="s">
        <v>26</v>
      </c>
      <c r="G155" s="2" t="s">
        <v>73</v>
      </c>
      <c r="H155" s="2" t="s">
        <v>45</v>
      </c>
      <c r="I155" s="2" t="s">
        <v>29</v>
      </c>
      <c r="J155" s="2" t="s">
        <v>112</v>
      </c>
      <c r="K155" s="2" t="s">
        <v>62</v>
      </c>
      <c r="L155" s="2" t="s">
        <v>33</v>
      </c>
      <c r="M155" s="2" t="s">
        <v>908</v>
      </c>
      <c r="N155" s="2" t="s">
        <v>126</v>
      </c>
      <c r="O155" s="2" t="s">
        <v>33</v>
      </c>
      <c r="P155" s="2" t="s">
        <v>909</v>
      </c>
      <c r="Q155" s="2" t="s">
        <v>25</v>
      </c>
      <c r="R155" s="2" t="s">
        <v>52</v>
      </c>
      <c r="S155" s="2" t="s">
        <v>910</v>
      </c>
      <c r="T155" s="2" t="s">
        <v>911</v>
      </c>
      <c r="U155" s="2" t="s">
        <v>912</v>
      </c>
      <c r="V155" s="2" t="s">
        <v>81</v>
      </c>
    </row>
    <row r="156">
      <c r="A156" s="2">
        <v>155</v>
      </c>
      <c r="B156" s="2" t="s">
        <v>221</v>
      </c>
      <c r="C156" s="2" t="s">
        <v>913</v>
      </c>
      <c r="D156" s="2" t="s">
        <v>572</v>
      </c>
      <c r="E156" s="2" t="s">
        <v>25</v>
      </c>
      <c r="F156" s="2" t="s">
        <v>26</v>
      </c>
      <c r="G156" s="2" t="s">
        <v>73</v>
      </c>
      <c r="H156" s="2" t="s">
        <v>45</v>
      </c>
      <c r="I156" s="2" t="s">
        <v>46</v>
      </c>
      <c r="J156" s="2" t="s">
        <v>271</v>
      </c>
      <c r="K156" s="2" t="s">
        <v>31</v>
      </c>
      <c r="L156" s="2" t="s">
        <v>33</v>
      </c>
      <c r="M156" s="2" t="s">
        <v>750</v>
      </c>
      <c r="N156" s="2" t="s">
        <v>279</v>
      </c>
      <c r="O156" s="2" t="s">
        <v>33</v>
      </c>
      <c r="P156" s="2" t="s">
        <v>914</v>
      </c>
      <c r="Q156" s="2" t="s">
        <v>25</v>
      </c>
      <c r="R156" s="2" t="s">
        <v>52</v>
      </c>
      <c r="S156" s="2" t="s">
        <v>281</v>
      </c>
      <c r="T156" s="2" t="s">
        <v>915</v>
      </c>
      <c r="U156" s="2" t="s">
        <v>916</v>
      </c>
      <c r="V156" s="2"/>
    </row>
    <row r="157">
      <c r="A157" s="2">
        <v>156</v>
      </c>
      <c r="B157" s="2" t="s">
        <v>117</v>
      </c>
      <c r="C157" s="2" t="s">
        <v>917</v>
      </c>
      <c r="D157" s="2" t="s">
        <v>572</v>
      </c>
      <c r="E157" s="2" t="s">
        <v>25</v>
      </c>
      <c r="F157" s="2" t="s">
        <v>26</v>
      </c>
      <c r="G157" s="2" t="s">
        <v>73</v>
      </c>
      <c r="H157" s="2" t="s">
        <v>45</v>
      </c>
      <c r="I157" s="2" t="s">
        <v>29</v>
      </c>
      <c r="J157" s="2" t="s">
        <v>112</v>
      </c>
      <c r="K157" s="2" t="s">
        <v>104</v>
      </c>
      <c r="L157" s="2" t="s">
        <v>33</v>
      </c>
      <c r="M157" s="2" t="s">
        <v>819</v>
      </c>
      <c r="N157" s="2" t="s">
        <v>34</v>
      </c>
      <c r="O157" s="2" t="s">
        <v>33</v>
      </c>
      <c r="P157" s="2" t="s">
        <v>918</v>
      </c>
      <c r="Q157" s="2" t="s">
        <v>25</v>
      </c>
      <c r="R157" s="2" t="s">
        <v>52</v>
      </c>
      <c r="S157" s="2" t="s">
        <v>919</v>
      </c>
      <c r="T157" s="2" t="s">
        <v>920</v>
      </c>
      <c r="U157" s="2" t="s">
        <v>921</v>
      </c>
      <c r="V157" s="2"/>
    </row>
    <row r="158">
      <c r="A158" s="2">
        <v>157</v>
      </c>
      <c r="B158" s="2" t="s">
        <v>117</v>
      </c>
      <c r="C158" s="2" t="s">
        <v>922</v>
      </c>
      <c r="D158" s="2" t="s">
        <v>572</v>
      </c>
      <c r="E158" s="2" t="s">
        <v>25</v>
      </c>
      <c r="F158" s="2" t="s">
        <v>26</v>
      </c>
      <c r="G158" s="2" t="s">
        <v>27</v>
      </c>
      <c r="H158" s="2" t="s">
        <v>45</v>
      </c>
      <c r="I158" s="2" t="s">
        <v>29</v>
      </c>
      <c r="J158" s="2" t="s">
        <v>112</v>
      </c>
      <c r="K158" s="2" t="s">
        <v>62</v>
      </c>
      <c r="L158" s="2" t="s">
        <v>33</v>
      </c>
      <c r="M158" s="2" t="s">
        <v>178</v>
      </c>
      <c r="N158" s="2" t="s">
        <v>452</v>
      </c>
      <c r="O158" s="2" t="s">
        <v>93</v>
      </c>
      <c r="P158" s="2" t="s">
        <v>923</v>
      </c>
      <c r="Q158" s="2" t="s">
        <v>25</v>
      </c>
      <c r="R158" s="2" t="s">
        <v>52</v>
      </c>
      <c r="S158" s="2" t="s">
        <v>344</v>
      </c>
      <c r="T158" s="2" t="s">
        <v>924</v>
      </c>
      <c r="U158" s="2" t="s">
        <v>925</v>
      </c>
      <c r="V158" s="2"/>
    </row>
    <row r="159">
      <c r="A159" s="2">
        <v>158</v>
      </c>
      <c r="B159" s="2" t="s">
        <v>117</v>
      </c>
      <c r="C159" s="2" t="s">
        <v>926</v>
      </c>
      <c r="D159" s="2" t="s">
        <v>572</v>
      </c>
      <c r="E159" s="2" t="s">
        <v>25</v>
      </c>
      <c r="F159" s="2" t="s">
        <v>26</v>
      </c>
      <c r="G159" s="2" t="s">
        <v>73</v>
      </c>
      <c r="H159" s="2" t="s">
        <v>45</v>
      </c>
      <c r="I159" s="2" t="s">
        <v>29</v>
      </c>
      <c r="J159" s="2" t="s">
        <v>271</v>
      </c>
      <c r="K159" s="2" t="s">
        <v>31</v>
      </c>
      <c r="L159" s="2" t="s">
        <v>33</v>
      </c>
      <c r="M159" s="2" t="s">
        <v>750</v>
      </c>
      <c r="N159" s="2" t="s">
        <v>34</v>
      </c>
      <c r="O159" s="2" t="s">
        <v>33</v>
      </c>
      <c r="P159" s="2" t="s">
        <v>927</v>
      </c>
      <c r="Q159" s="2" t="s">
        <v>25</v>
      </c>
      <c r="R159" s="2" t="s">
        <v>52</v>
      </c>
      <c r="S159" s="2" t="s">
        <v>135</v>
      </c>
      <c r="T159" s="2" t="s">
        <v>928</v>
      </c>
      <c r="U159" s="2" t="s">
        <v>929</v>
      </c>
      <c r="V159" s="2"/>
    </row>
    <row r="160">
      <c r="A160" s="2">
        <v>159</v>
      </c>
      <c r="B160" s="2" t="s">
        <v>221</v>
      </c>
      <c r="C160" s="2" t="s">
        <v>930</v>
      </c>
      <c r="D160" s="2" t="s">
        <v>572</v>
      </c>
      <c r="E160" s="2" t="s">
        <v>25</v>
      </c>
      <c r="F160" s="2" t="s">
        <v>26</v>
      </c>
      <c r="G160" s="2" t="s">
        <v>27</v>
      </c>
      <c r="H160" s="2" t="s">
        <v>45</v>
      </c>
      <c r="I160" s="2" t="s">
        <v>29</v>
      </c>
      <c r="J160" s="2" t="s">
        <v>112</v>
      </c>
      <c r="K160" s="2" t="s">
        <v>31</v>
      </c>
      <c r="L160" s="2" t="s">
        <v>33</v>
      </c>
      <c r="M160" s="2" t="s">
        <v>49</v>
      </c>
      <c r="N160" s="2" t="s">
        <v>931</v>
      </c>
      <c r="O160" s="2" t="s">
        <v>218</v>
      </c>
      <c r="P160" s="2" t="s">
        <v>932</v>
      </c>
      <c r="Q160" s="2" t="s">
        <v>25</v>
      </c>
      <c r="R160" s="2" t="s">
        <v>52</v>
      </c>
      <c r="S160" s="2" t="s">
        <v>165</v>
      </c>
      <c r="T160" s="2" t="s">
        <v>933</v>
      </c>
      <c r="U160" s="2" t="s">
        <v>934</v>
      </c>
      <c r="V160" s="2" t="s">
        <v>81</v>
      </c>
    </row>
    <row r="161">
      <c r="A161" s="2">
        <v>160</v>
      </c>
      <c r="B161" s="2" t="s">
        <v>192</v>
      </c>
      <c r="C161" s="2" t="s">
        <v>935</v>
      </c>
      <c r="D161" s="2" t="s">
        <v>572</v>
      </c>
      <c r="E161" s="2" t="s">
        <v>25</v>
      </c>
      <c r="F161" s="2" t="s">
        <v>26</v>
      </c>
      <c r="G161" s="2" t="s">
        <v>27</v>
      </c>
      <c r="H161" s="2" t="s">
        <v>45</v>
      </c>
      <c r="I161" s="2" t="s">
        <v>46</v>
      </c>
      <c r="J161" s="2" t="s">
        <v>112</v>
      </c>
      <c r="K161" s="2" t="s">
        <v>104</v>
      </c>
      <c r="L161" s="2" t="s">
        <v>936</v>
      </c>
      <c r="M161" s="2" t="s">
        <v>49</v>
      </c>
      <c r="N161" s="2" t="s">
        <v>86</v>
      </c>
      <c r="O161" s="2" t="s">
        <v>328</v>
      </c>
      <c r="P161" s="2" t="s">
        <v>937</v>
      </c>
      <c r="Q161" s="2" t="s">
        <v>25</v>
      </c>
      <c r="R161" s="2" t="s">
        <v>52</v>
      </c>
      <c r="S161" s="2" t="s">
        <v>938</v>
      </c>
      <c r="T161" s="2" t="s">
        <v>939</v>
      </c>
      <c r="U161" s="2" t="s">
        <v>940</v>
      </c>
      <c r="V161" s="2" t="s">
        <v>563</v>
      </c>
    </row>
    <row r="162">
      <c r="A162" s="2">
        <v>161</v>
      </c>
      <c r="B162" s="2" t="s">
        <v>41</v>
      </c>
      <c r="C162" s="2" t="s">
        <v>941</v>
      </c>
      <c r="D162" s="2" t="s">
        <v>572</v>
      </c>
      <c r="E162" s="2" t="s">
        <v>25</v>
      </c>
      <c r="F162" s="2" t="s">
        <v>26</v>
      </c>
      <c r="G162" s="2" t="s">
        <v>27</v>
      </c>
      <c r="H162" s="2" t="s">
        <v>45</v>
      </c>
      <c r="I162" s="2" t="s">
        <v>29</v>
      </c>
      <c r="J162" s="2" t="s">
        <v>160</v>
      </c>
      <c r="K162" s="2" t="s">
        <v>62</v>
      </c>
      <c r="L162" s="2" t="s">
        <v>942</v>
      </c>
      <c r="M162" s="2" t="s">
        <v>943</v>
      </c>
      <c r="N162" s="2" t="s">
        <v>944</v>
      </c>
      <c r="O162" s="2" t="s">
        <v>639</v>
      </c>
      <c r="P162" s="2" t="s">
        <v>945</v>
      </c>
      <c r="Q162" s="2" t="s">
        <v>25</v>
      </c>
      <c r="R162" s="2" t="s">
        <v>52</v>
      </c>
      <c r="S162" s="2" t="s">
        <v>946</v>
      </c>
      <c r="T162" s="2" t="s">
        <v>947</v>
      </c>
      <c r="U162" s="2" t="s">
        <v>948</v>
      </c>
      <c r="V162" s="2"/>
    </row>
    <row r="163">
      <c r="A163" s="2">
        <v>162</v>
      </c>
      <c r="B163" s="2" t="s">
        <v>117</v>
      </c>
      <c r="C163" s="2" t="s">
        <v>949</v>
      </c>
      <c r="D163" s="2" t="s">
        <v>572</v>
      </c>
      <c r="E163" s="2" t="s">
        <v>25</v>
      </c>
      <c r="F163" s="2" t="s">
        <v>26</v>
      </c>
      <c r="G163" s="2" t="s">
        <v>27</v>
      </c>
      <c r="H163" s="2" t="s">
        <v>45</v>
      </c>
      <c r="I163" s="2" t="s">
        <v>29</v>
      </c>
      <c r="J163" s="2" t="s">
        <v>84</v>
      </c>
      <c r="K163" s="2" t="s">
        <v>48</v>
      </c>
      <c r="L163" s="2" t="s">
        <v>33</v>
      </c>
      <c r="M163" s="2" t="s">
        <v>63</v>
      </c>
      <c r="N163" s="2" t="s">
        <v>373</v>
      </c>
      <c r="O163" s="2" t="s">
        <v>33</v>
      </c>
      <c r="P163" s="2" t="s">
        <v>950</v>
      </c>
      <c r="Q163" s="2" t="s">
        <v>25</v>
      </c>
      <c r="R163" s="2" t="s">
        <v>52</v>
      </c>
      <c r="S163" s="2" t="s">
        <v>705</v>
      </c>
      <c r="T163" s="2" t="s">
        <v>951</v>
      </c>
      <c r="U163" s="2" t="s">
        <v>952</v>
      </c>
      <c r="V163" s="2"/>
    </row>
    <row r="164">
      <c r="A164" s="2">
        <v>163</v>
      </c>
      <c r="B164" s="2" t="s">
        <v>56</v>
      </c>
      <c r="C164" s="2" t="s">
        <v>953</v>
      </c>
      <c r="D164" s="2" t="s">
        <v>572</v>
      </c>
      <c r="E164" s="2" t="s">
        <v>25</v>
      </c>
      <c r="F164" s="2" t="s">
        <v>26</v>
      </c>
      <c r="G164" s="2" t="s">
        <v>73</v>
      </c>
      <c r="H164" s="2" t="s">
        <v>45</v>
      </c>
      <c r="I164" s="2" t="s">
        <v>29</v>
      </c>
      <c r="J164" s="2" t="s">
        <v>112</v>
      </c>
      <c r="K164" s="2" t="s">
        <v>62</v>
      </c>
      <c r="L164" s="2" t="s">
        <v>33</v>
      </c>
      <c r="M164" s="2" t="s">
        <v>63</v>
      </c>
      <c r="N164" s="2" t="s">
        <v>126</v>
      </c>
      <c r="O164" s="2" t="s">
        <v>33</v>
      </c>
      <c r="P164" s="2" t="s">
        <v>954</v>
      </c>
      <c r="Q164" s="2" t="s">
        <v>25</v>
      </c>
      <c r="R164" s="2" t="s">
        <v>52</v>
      </c>
      <c r="S164" s="2" t="s">
        <v>904</v>
      </c>
      <c r="T164" s="2" t="s">
        <v>955</v>
      </c>
      <c r="U164" s="2" t="s">
        <v>956</v>
      </c>
      <c r="V164" s="2" t="s">
        <v>81</v>
      </c>
    </row>
    <row r="165">
      <c r="A165" s="2">
        <v>164</v>
      </c>
      <c r="B165" s="2" t="s">
        <v>239</v>
      </c>
      <c r="C165" s="2" t="s">
        <v>957</v>
      </c>
      <c r="D165" s="2" t="s">
        <v>572</v>
      </c>
      <c r="E165" s="2" t="s">
        <v>25</v>
      </c>
      <c r="F165" s="2" t="s">
        <v>26</v>
      </c>
      <c r="G165" s="2" t="s">
        <v>73</v>
      </c>
      <c r="H165" s="2" t="s">
        <v>45</v>
      </c>
      <c r="I165" s="2" t="s">
        <v>46</v>
      </c>
      <c r="J165" s="2" t="s">
        <v>84</v>
      </c>
      <c r="K165" s="2" t="s">
        <v>104</v>
      </c>
      <c r="L165" s="2" t="s">
        <v>33</v>
      </c>
      <c r="M165" s="2" t="s">
        <v>49</v>
      </c>
      <c r="N165" s="2" t="s">
        <v>958</v>
      </c>
      <c r="O165" s="2" t="s">
        <v>33</v>
      </c>
      <c r="P165" s="2" t="s">
        <v>959</v>
      </c>
      <c r="Q165" s="2" t="s">
        <v>25</v>
      </c>
      <c r="R165" s="2" t="s">
        <v>52</v>
      </c>
      <c r="S165" s="2" t="s">
        <v>418</v>
      </c>
      <c r="T165" s="2" t="s">
        <v>960</v>
      </c>
      <c r="U165" s="2" t="s">
        <v>961</v>
      </c>
      <c r="V165" s="2"/>
    </row>
    <row r="166">
      <c r="A166" s="2">
        <v>165</v>
      </c>
      <c r="B166" s="2" t="s">
        <v>239</v>
      </c>
      <c r="C166" s="2" t="s">
        <v>962</v>
      </c>
      <c r="D166" s="2" t="s">
        <v>572</v>
      </c>
      <c r="E166" s="2" t="s">
        <v>25</v>
      </c>
      <c r="F166" s="2" t="s">
        <v>26</v>
      </c>
      <c r="G166" s="2" t="s">
        <v>73</v>
      </c>
      <c r="H166" s="2" t="s">
        <v>45</v>
      </c>
      <c r="I166" s="2" t="s">
        <v>29</v>
      </c>
      <c r="J166" s="2" t="s">
        <v>61</v>
      </c>
      <c r="K166" s="2" t="s">
        <v>62</v>
      </c>
      <c r="L166" s="2" t="s">
        <v>33</v>
      </c>
      <c r="M166" s="2" t="s">
        <v>63</v>
      </c>
      <c r="N166" s="2" t="s">
        <v>606</v>
      </c>
      <c r="O166" s="2" t="s">
        <v>33</v>
      </c>
      <c r="P166" s="2" t="s">
        <v>963</v>
      </c>
      <c r="Q166" s="2" t="s">
        <v>25</v>
      </c>
      <c r="R166" s="2" t="s">
        <v>52</v>
      </c>
      <c r="S166" s="2" t="s">
        <v>964</v>
      </c>
      <c r="T166" s="2" t="s">
        <v>965</v>
      </c>
      <c r="U166" s="2" t="s">
        <v>966</v>
      </c>
      <c r="V166" s="2" t="s">
        <v>81</v>
      </c>
    </row>
    <row r="167">
      <c r="A167" s="2">
        <v>166</v>
      </c>
      <c r="B167" s="2" t="s">
        <v>82</v>
      </c>
      <c r="C167" s="2" t="s">
        <v>967</v>
      </c>
      <c r="D167" s="2" t="s">
        <v>572</v>
      </c>
      <c r="E167" s="2" t="s">
        <v>25</v>
      </c>
      <c r="F167" s="2" t="s">
        <v>26</v>
      </c>
      <c r="G167" s="2" t="s">
        <v>73</v>
      </c>
      <c r="H167" s="2" t="s">
        <v>45</v>
      </c>
      <c r="I167" s="2" t="s">
        <v>29</v>
      </c>
      <c r="J167" s="2" t="s">
        <v>112</v>
      </c>
      <c r="K167" s="2" t="s">
        <v>62</v>
      </c>
      <c r="L167" s="2" t="s">
        <v>33</v>
      </c>
      <c r="M167" s="2" t="s">
        <v>750</v>
      </c>
      <c r="N167" s="2" t="s">
        <v>968</v>
      </c>
      <c r="O167" s="2" t="s">
        <v>33</v>
      </c>
      <c r="P167" s="2" t="s">
        <v>969</v>
      </c>
      <c r="Q167" s="2" t="s">
        <v>25</v>
      </c>
      <c r="R167" s="2" t="s">
        <v>52</v>
      </c>
      <c r="S167" s="2" t="s">
        <v>418</v>
      </c>
      <c r="T167" s="2" t="s">
        <v>970</v>
      </c>
      <c r="U167" s="2" t="s">
        <v>971</v>
      </c>
      <c r="V167" s="2"/>
    </row>
    <row r="168">
      <c r="A168" s="2">
        <v>167</v>
      </c>
      <c r="B168" s="2" t="s">
        <v>41</v>
      </c>
      <c r="C168" s="2" t="s">
        <v>972</v>
      </c>
      <c r="D168" s="2" t="s">
        <v>572</v>
      </c>
      <c r="E168" s="2" t="s">
        <v>25</v>
      </c>
      <c r="F168" s="2" t="s">
        <v>26</v>
      </c>
      <c r="G168" s="2" t="s">
        <v>27</v>
      </c>
      <c r="H168" s="2" t="s">
        <v>45</v>
      </c>
      <c r="I168" s="2" t="s">
        <v>46</v>
      </c>
      <c r="J168" s="2" t="s">
        <v>112</v>
      </c>
      <c r="K168" s="2" t="s">
        <v>104</v>
      </c>
      <c r="L168" s="2" t="s">
        <v>973</v>
      </c>
      <c r="M168" s="2" t="s">
        <v>737</v>
      </c>
      <c r="N168" s="2" t="s">
        <v>665</v>
      </c>
      <c r="O168" s="2" t="s">
        <v>974</v>
      </c>
      <c r="P168" s="2" t="s">
        <v>975</v>
      </c>
      <c r="Q168" s="2" t="s">
        <v>25</v>
      </c>
      <c r="R168" s="2" t="s">
        <v>52</v>
      </c>
      <c r="S168" s="2" t="s">
        <v>976</v>
      </c>
      <c r="T168" s="2" t="s">
        <v>977</v>
      </c>
      <c r="U168" s="2" t="s">
        <v>978</v>
      </c>
      <c r="V168" s="2" t="s">
        <v>81</v>
      </c>
    </row>
    <row r="169">
      <c r="A169" s="2">
        <v>168</v>
      </c>
      <c r="B169" s="2" t="s">
        <v>82</v>
      </c>
      <c r="C169" s="2" t="s">
        <v>979</v>
      </c>
      <c r="D169" s="2" t="s">
        <v>980</v>
      </c>
      <c r="E169" s="2" t="s">
        <v>25</v>
      </c>
      <c r="F169" s="2" t="s">
        <v>26</v>
      </c>
      <c r="G169" s="2" t="s">
        <v>73</v>
      </c>
      <c r="H169" s="2" t="s">
        <v>981</v>
      </c>
      <c r="I169" s="2" t="s">
        <v>982</v>
      </c>
      <c r="J169" s="2" t="s">
        <v>676</v>
      </c>
      <c r="K169" s="2" t="s">
        <v>161</v>
      </c>
      <c r="L169" s="2" t="s">
        <v>33</v>
      </c>
      <c r="M169" s="2" t="s">
        <v>33</v>
      </c>
      <c r="N169" s="2" t="s">
        <v>983</v>
      </c>
      <c r="O169" s="2" t="s">
        <v>33</v>
      </c>
      <c r="P169" s="2" t="s">
        <v>984</v>
      </c>
      <c r="Q169" s="2" t="s">
        <v>985</v>
      </c>
      <c r="R169" s="2" t="s">
        <v>986</v>
      </c>
      <c r="S169" s="2" t="s">
        <v>987</v>
      </c>
      <c r="T169" s="2" t="s">
        <v>988</v>
      </c>
      <c r="U169" s="2" t="s">
        <v>989</v>
      </c>
      <c r="V169" s="2"/>
    </row>
    <row r="170">
      <c r="A170" s="2">
        <v>169</v>
      </c>
      <c r="B170" s="2" t="s">
        <v>131</v>
      </c>
      <c r="C170" s="2" t="s">
        <v>990</v>
      </c>
      <c r="D170" s="2" t="s">
        <v>980</v>
      </c>
      <c r="E170" s="2" t="s">
        <v>25</v>
      </c>
      <c r="F170" s="2" t="s">
        <v>72</v>
      </c>
      <c r="G170" s="2" t="s">
        <v>73</v>
      </c>
      <c r="H170" s="2" t="s">
        <v>991</v>
      </c>
      <c r="I170" s="2" t="s">
        <v>982</v>
      </c>
      <c r="J170" s="2" t="s">
        <v>676</v>
      </c>
      <c r="K170" s="2" t="s">
        <v>104</v>
      </c>
      <c r="L170" s="2" t="s">
        <v>33</v>
      </c>
      <c r="M170" s="2" t="s">
        <v>33</v>
      </c>
      <c r="N170" s="2" t="s">
        <v>992</v>
      </c>
      <c r="O170" s="2" t="s">
        <v>33</v>
      </c>
      <c r="P170" s="2" t="s">
        <v>76</v>
      </c>
      <c r="Q170" s="2" t="s">
        <v>985</v>
      </c>
      <c r="R170" s="2" t="s">
        <v>993</v>
      </c>
      <c r="S170" s="2" t="s">
        <v>994</v>
      </c>
      <c r="T170" s="2" t="s">
        <v>995</v>
      </c>
      <c r="U170" s="2" t="s">
        <v>996</v>
      </c>
      <c r="V170" s="2" t="s">
        <v>563</v>
      </c>
    </row>
    <row r="171">
      <c r="A171" s="2">
        <v>170</v>
      </c>
      <c r="B171" s="2" t="s">
        <v>117</v>
      </c>
      <c r="C171" s="2" t="s">
        <v>997</v>
      </c>
      <c r="D171" s="2" t="s">
        <v>980</v>
      </c>
      <c r="E171" s="2" t="s">
        <v>25</v>
      </c>
      <c r="F171" s="2" t="s">
        <v>72</v>
      </c>
      <c r="G171" s="2" t="s">
        <v>73</v>
      </c>
      <c r="H171" s="2" t="s">
        <v>991</v>
      </c>
      <c r="I171" s="2" t="s">
        <v>982</v>
      </c>
      <c r="J171" s="2" t="s">
        <v>676</v>
      </c>
      <c r="K171" s="2" t="s">
        <v>104</v>
      </c>
      <c r="L171" s="2" t="s">
        <v>33</v>
      </c>
      <c r="M171" s="2" t="s">
        <v>998</v>
      </c>
      <c r="N171" s="2" t="s">
        <v>999</v>
      </c>
      <c r="O171" s="2" t="s">
        <v>33</v>
      </c>
      <c r="P171" s="2" t="s">
        <v>1000</v>
      </c>
      <c r="Q171" s="2" t="s">
        <v>985</v>
      </c>
      <c r="R171" s="2" t="s">
        <v>993</v>
      </c>
      <c r="S171" s="2" t="s">
        <v>1001</v>
      </c>
      <c r="T171" s="2" t="s">
        <v>1002</v>
      </c>
      <c r="U171" s="2" t="s">
        <v>1003</v>
      </c>
      <c r="V171" s="2"/>
    </row>
    <row r="172">
      <c r="A172" s="2">
        <v>171</v>
      </c>
      <c r="B172" s="2" t="s">
        <v>117</v>
      </c>
      <c r="C172" s="2" t="s">
        <v>1004</v>
      </c>
      <c r="D172" s="2" t="s">
        <v>980</v>
      </c>
      <c r="E172" s="2" t="s">
        <v>25</v>
      </c>
      <c r="F172" s="2" t="s">
        <v>72</v>
      </c>
      <c r="G172" s="2" t="s">
        <v>73</v>
      </c>
      <c r="H172" s="2" t="s">
        <v>991</v>
      </c>
      <c r="I172" s="2" t="s">
        <v>982</v>
      </c>
      <c r="J172" s="2" t="s">
        <v>676</v>
      </c>
      <c r="K172" s="2" t="s">
        <v>104</v>
      </c>
      <c r="L172" s="2" t="s">
        <v>33</v>
      </c>
      <c r="M172" s="2" t="s">
        <v>33</v>
      </c>
      <c r="N172" s="2" t="s">
        <v>1005</v>
      </c>
      <c r="O172" s="2" t="s">
        <v>33</v>
      </c>
      <c r="P172" s="2" t="s">
        <v>1006</v>
      </c>
      <c r="Q172" s="2" t="s">
        <v>985</v>
      </c>
      <c r="R172" s="2" t="s">
        <v>993</v>
      </c>
      <c r="S172" s="2" t="s">
        <v>1007</v>
      </c>
      <c r="T172" s="2" t="s">
        <v>1008</v>
      </c>
      <c r="U172" s="2" t="s">
        <v>1009</v>
      </c>
      <c r="V172" s="2"/>
    </row>
    <row r="173">
      <c r="A173" s="2">
        <v>172</v>
      </c>
      <c r="B173" s="2" t="s">
        <v>82</v>
      </c>
      <c r="C173" s="2" t="s">
        <v>1010</v>
      </c>
      <c r="D173" s="2" t="s">
        <v>980</v>
      </c>
      <c r="E173" s="2" t="s">
        <v>25</v>
      </c>
      <c r="F173" s="2" t="s">
        <v>72</v>
      </c>
      <c r="G173" s="2" t="s">
        <v>73</v>
      </c>
      <c r="H173" s="2" t="s">
        <v>991</v>
      </c>
      <c r="I173" s="2" t="s">
        <v>982</v>
      </c>
      <c r="J173" s="2" t="s">
        <v>676</v>
      </c>
      <c r="K173" s="2" t="s">
        <v>104</v>
      </c>
      <c r="L173" s="2" t="s">
        <v>33</v>
      </c>
      <c r="M173" s="2" t="s">
        <v>1011</v>
      </c>
      <c r="N173" s="2" t="s">
        <v>1012</v>
      </c>
      <c r="O173" s="2" t="s">
        <v>33</v>
      </c>
      <c r="P173" s="2" t="s">
        <v>1013</v>
      </c>
      <c r="Q173" s="2" t="s">
        <v>985</v>
      </c>
      <c r="R173" s="2" t="s">
        <v>993</v>
      </c>
      <c r="S173" s="2" t="s">
        <v>1014</v>
      </c>
      <c r="T173" s="2" t="s">
        <v>1015</v>
      </c>
      <c r="U173" s="2" t="s">
        <v>1016</v>
      </c>
      <c r="V173" s="2"/>
    </row>
    <row r="174">
      <c r="A174" s="2">
        <v>173</v>
      </c>
      <c r="B174" s="2" t="s">
        <v>82</v>
      </c>
      <c r="C174" s="2" t="s">
        <v>1017</v>
      </c>
      <c r="D174" s="2" t="s">
        <v>980</v>
      </c>
      <c r="E174" s="2" t="s">
        <v>25</v>
      </c>
      <c r="F174" s="2" t="s">
        <v>72</v>
      </c>
      <c r="G174" s="2" t="s">
        <v>73</v>
      </c>
      <c r="H174" s="2" t="s">
        <v>991</v>
      </c>
      <c r="I174" s="2" t="s">
        <v>982</v>
      </c>
      <c r="J174" s="2" t="s">
        <v>676</v>
      </c>
      <c r="K174" s="2" t="s">
        <v>104</v>
      </c>
      <c r="L174" s="2" t="s">
        <v>33</v>
      </c>
      <c r="M174" s="2" t="s">
        <v>33</v>
      </c>
      <c r="N174" s="2" t="s">
        <v>999</v>
      </c>
      <c r="O174" s="2" t="s">
        <v>33</v>
      </c>
      <c r="P174" s="2" t="s">
        <v>1018</v>
      </c>
      <c r="Q174" s="2" t="s">
        <v>985</v>
      </c>
      <c r="R174" s="2" t="s">
        <v>993</v>
      </c>
      <c r="S174" s="2" t="s">
        <v>1019</v>
      </c>
      <c r="T174" s="2" t="s">
        <v>1020</v>
      </c>
      <c r="U174" s="2" t="s">
        <v>1021</v>
      </c>
      <c r="V174" s="2" t="s">
        <v>191</v>
      </c>
    </row>
    <row r="175">
      <c r="A175" s="2">
        <v>174</v>
      </c>
      <c r="B175" s="2" t="s">
        <v>56</v>
      </c>
      <c r="C175" s="2" t="s">
        <v>1022</v>
      </c>
      <c r="D175" s="2" t="s">
        <v>980</v>
      </c>
      <c r="E175" s="2" t="s">
        <v>25</v>
      </c>
      <c r="F175" s="2" t="s">
        <v>72</v>
      </c>
      <c r="G175" s="2" t="s">
        <v>73</v>
      </c>
      <c r="H175" s="2" t="s">
        <v>991</v>
      </c>
      <c r="I175" s="2" t="s">
        <v>982</v>
      </c>
      <c r="J175" s="2" t="s">
        <v>676</v>
      </c>
      <c r="K175" s="2" t="s">
        <v>104</v>
      </c>
      <c r="L175" s="2" t="s">
        <v>33</v>
      </c>
      <c r="M175" s="2" t="s">
        <v>33</v>
      </c>
      <c r="N175" s="2" t="s">
        <v>1023</v>
      </c>
      <c r="O175" s="2" t="s">
        <v>33</v>
      </c>
      <c r="P175" s="2" t="s">
        <v>1024</v>
      </c>
      <c r="Q175" s="2" t="s">
        <v>985</v>
      </c>
      <c r="R175" s="2" t="s">
        <v>993</v>
      </c>
      <c r="S175" s="2" t="s">
        <v>1025</v>
      </c>
      <c r="T175" s="2" t="s">
        <v>1026</v>
      </c>
      <c r="U175" s="2" t="s">
        <v>1027</v>
      </c>
      <c r="V175" s="2"/>
    </row>
    <row r="176">
      <c r="A176" s="2">
        <v>175</v>
      </c>
      <c r="B176" s="2" t="s">
        <v>117</v>
      </c>
      <c r="C176" s="2" t="s">
        <v>1028</v>
      </c>
      <c r="D176" s="2" t="s">
        <v>980</v>
      </c>
      <c r="E176" s="2" t="s">
        <v>25</v>
      </c>
      <c r="F176" s="2" t="s">
        <v>26</v>
      </c>
      <c r="G176" s="2" t="s">
        <v>27</v>
      </c>
      <c r="H176" s="2" t="s">
        <v>981</v>
      </c>
      <c r="I176" s="2" t="s">
        <v>982</v>
      </c>
      <c r="J176" s="2" t="s">
        <v>629</v>
      </c>
      <c r="K176" s="2" t="s">
        <v>104</v>
      </c>
      <c r="L176" s="2" t="s">
        <v>33</v>
      </c>
      <c r="M176" s="2" t="s">
        <v>488</v>
      </c>
      <c r="N176" s="2" t="s">
        <v>1029</v>
      </c>
      <c r="O176" s="2" t="s">
        <v>33</v>
      </c>
      <c r="P176" s="2" t="s">
        <v>76</v>
      </c>
      <c r="Q176" s="2" t="s">
        <v>985</v>
      </c>
      <c r="R176" s="2" t="s">
        <v>986</v>
      </c>
      <c r="S176" s="2" t="s">
        <v>1030</v>
      </c>
      <c r="T176" s="2" t="s">
        <v>1031</v>
      </c>
      <c r="U176" s="2" t="s">
        <v>1032</v>
      </c>
      <c r="V176" s="2"/>
    </row>
    <row r="177">
      <c r="A177" s="2">
        <v>176</v>
      </c>
      <c r="B177" s="2" t="s">
        <v>56</v>
      </c>
      <c r="C177" s="2" t="s">
        <v>1033</v>
      </c>
      <c r="D177" s="2" t="s">
        <v>980</v>
      </c>
      <c r="E177" s="2" t="s">
        <v>25</v>
      </c>
      <c r="F177" s="2" t="s">
        <v>72</v>
      </c>
      <c r="G177" s="2" t="s">
        <v>73</v>
      </c>
      <c r="H177" s="2" t="s">
        <v>991</v>
      </c>
      <c r="I177" s="2" t="s">
        <v>982</v>
      </c>
      <c r="J177" s="2" t="s">
        <v>676</v>
      </c>
      <c r="K177" s="2" t="s">
        <v>104</v>
      </c>
      <c r="L177" s="2" t="s">
        <v>33</v>
      </c>
      <c r="M177" s="2" t="s">
        <v>33</v>
      </c>
      <c r="N177" s="2" t="s">
        <v>1034</v>
      </c>
      <c r="O177" s="2" t="s">
        <v>33</v>
      </c>
      <c r="P177" s="2" t="s">
        <v>1035</v>
      </c>
      <c r="Q177" s="2" t="s">
        <v>985</v>
      </c>
      <c r="R177" s="2" t="s">
        <v>993</v>
      </c>
      <c r="S177" s="2" t="s">
        <v>1036</v>
      </c>
      <c r="T177" s="2" t="s">
        <v>1037</v>
      </c>
      <c r="U177" s="2" t="s">
        <v>1038</v>
      </c>
      <c r="V177" s="2" t="s">
        <v>191</v>
      </c>
    </row>
    <row r="178">
      <c r="A178" s="2">
        <v>177</v>
      </c>
      <c r="B178" s="2" t="s">
        <v>117</v>
      </c>
      <c r="C178" s="2" t="s">
        <v>1039</v>
      </c>
      <c r="D178" s="2" t="s">
        <v>980</v>
      </c>
      <c r="E178" s="2" t="s">
        <v>25</v>
      </c>
      <c r="F178" s="2" t="s">
        <v>26</v>
      </c>
      <c r="G178" s="2" t="s">
        <v>73</v>
      </c>
      <c r="H178" s="2" t="s">
        <v>981</v>
      </c>
      <c r="I178" s="2" t="s">
        <v>982</v>
      </c>
      <c r="J178" s="2" t="s">
        <v>629</v>
      </c>
      <c r="K178" s="2" t="s">
        <v>62</v>
      </c>
      <c r="L178" s="2" t="s">
        <v>1040</v>
      </c>
      <c r="M178" s="2" t="s">
        <v>33</v>
      </c>
      <c r="N178" s="2" t="s">
        <v>992</v>
      </c>
      <c r="O178" s="2" t="s">
        <v>33</v>
      </c>
      <c r="P178" s="2" t="s">
        <v>1041</v>
      </c>
      <c r="Q178" s="2" t="s">
        <v>985</v>
      </c>
      <c r="R178" s="2" t="s">
        <v>986</v>
      </c>
      <c r="S178" s="2" t="s">
        <v>1042</v>
      </c>
      <c r="T178" s="2" t="s">
        <v>1043</v>
      </c>
      <c r="U178" s="2" t="s">
        <v>1044</v>
      </c>
      <c r="V178" s="2"/>
    </row>
    <row r="179">
      <c r="A179" s="2">
        <v>178</v>
      </c>
      <c r="B179" s="2" t="s">
        <v>117</v>
      </c>
      <c r="C179" s="2" t="s">
        <v>1045</v>
      </c>
      <c r="D179" s="2" t="s">
        <v>980</v>
      </c>
      <c r="E179" s="2" t="s">
        <v>25</v>
      </c>
      <c r="F179" s="2" t="s">
        <v>26</v>
      </c>
      <c r="G179" s="2" t="s">
        <v>27</v>
      </c>
      <c r="H179" s="2" t="s">
        <v>981</v>
      </c>
      <c r="I179" s="2" t="s">
        <v>982</v>
      </c>
      <c r="J179" s="2" t="s">
        <v>629</v>
      </c>
      <c r="K179" s="2" t="s">
        <v>62</v>
      </c>
      <c r="L179" s="2" t="s">
        <v>33</v>
      </c>
      <c r="M179" s="2" t="s">
        <v>63</v>
      </c>
      <c r="N179" s="2" t="s">
        <v>1046</v>
      </c>
      <c r="O179" s="2" t="s">
        <v>33</v>
      </c>
      <c r="P179" s="2" t="s">
        <v>1047</v>
      </c>
      <c r="Q179" s="2" t="s">
        <v>985</v>
      </c>
      <c r="R179" s="2" t="s">
        <v>986</v>
      </c>
      <c r="S179" s="2" t="s">
        <v>1048</v>
      </c>
      <c r="T179" s="2" t="s">
        <v>1049</v>
      </c>
      <c r="U179" s="2" t="s">
        <v>1050</v>
      </c>
      <c r="V179" s="2"/>
    </row>
    <row r="180">
      <c r="A180" s="2">
        <v>179</v>
      </c>
      <c r="B180" s="2" t="s">
        <v>117</v>
      </c>
      <c r="C180" s="2" t="s">
        <v>1051</v>
      </c>
      <c r="D180" s="2" t="s">
        <v>980</v>
      </c>
      <c r="E180" s="2" t="s">
        <v>25</v>
      </c>
      <c r="F180" s="2" t="s">
        <v>72</v>
      </c>
      <c r="G180" s="2" t="s">
        <v>73</v>
      </c>
      <c r="H180" s="2" t="s">
        <v>991</v>
      </c>
      <c r="I180" s="2" t="s">
        <v>982</v>
      </c>
      <c r="J180" s="2" t="s">
        <v>676</v>
      </c>
      <c r="K180" s="2" t="s">
        <v>48</v>
      </c>
      <c r="L180" s="2" t="s">
        <v>33</v>
      </c>
      <c r="M180" s="2" t="s">
        <v>33</v>
      </c>
      <c r="N180" s="2" t="s">
        <v>1052</v>
      </c>
      <c r="O180" s="2" t="s">
        <v>33</v>
      </c>
      <c r="P180" s="2" t="s">
        <v>1053</v>
      </c>
      <c r="Q180" s="2" t="s">
        <v>985</v>
      </c>
      <c r="R180" s="2" t="s">
        <v>993</v>
      </c>
      <c r="S180" s="2" t="s">
        <v>1054</v>
      </c>
      <c r="T180" s="2" t="s">
        <v>1055</v>
      </c>
      <c r="U180" s="2" t="s">
        <v>1056</v>
      </c>
      <c r="V180" s="2"/>
    </row>
    <row r="181">
      <c r="A181" s="2">
        <v>180</v>
      </c>
      <c r="B181" s="2" t="s">
        <v>117</v>
      </c>
      <c r="C181" s="2" t="s">
        <v>1057</v>
      </c>
      <c r="D181" s="2" t="s">
        <v>980</v>
      </c>
      <c r="E181" s="2" t="s">
        <v>25</v>
      </c>
      <c r="F181" s="2" t="s">
        <v>26</v>
      </c>
      <c r="G181" s="2" t="s">
        <v>27</v>
      </c>
      <c r="H181" s="2" t="s">
        <v>981</v>
      </c>
      <c r="I181" s="2" t="s">
        <v>982</v>
      </c>
      <c r="J181" s="2" t="s">
        <v>629</v>
      </c>
      <c r="K181" s="2" t="s">
        <v>48</v>
      </c>
      <c r="L181" s="2" t="s">
        <v>33</v>
      </c>
      <c r="M181" s="2" t="s">
        <v>488</v>
      </c>
      <c r="N181" s="2" t="s">
        <v>217</v>
      </c>
      <c r="O181" s="2" t="s">
        <v>33</v>
      </c>
      <c r="P181" s="2" t="s">
        <v>1058</v>
      </c>
      <c r="Q181" s="2" t="s">
        <v>985</v>
      </c>
      <c r="R181" s="2" t="s">
        <v>986</v>
      </c>
      <c r="S181" s="2" t="s">
        <v>1059</v>
      </c>
      <c r="T181" s="2" t="s">
        <v>1060</v>
      </c>
      <c r="U181" s="2" t="s">
        <v>1061</v>
      </c>
      <c r="V181" s="2"/>
    </row>
    <row r="182">
      <c r="A182" s="2">
        <v>181</v>
      </c>
      <c r="B182" s="2" t="s">
        <v>82</v>
      </c>
      <c r="C182" s="2" t="s">
        <v>1062</v>
      </c>
      <c r="D182" s="2" t="s">
        <v>980</v>
      </c>
      <c r="E182" s="2" t="s">
        <v>25</v>
      </c>
      <c r="F182" s="2" t="s">
        <v>72</v>
      </c>
      <c r="G182" s="2" t="s">
        <v>73</v>
      </c>
      <c r="H182" s="2" t="s">
        <v>991</v>
      </c>
      <c r="I182" s="2" t="s">
        <v>982</v>
      </c>
      <c r="J182" s="2" t="s">
        <v>676</v>
      </c>
      <c r="K182" s="2" t="s">
        <v>161</v>
      </c>
      <c r="L182" s="2" t="s">
        <v>33</v>
      </c>
      <c r="M182" s="2" t="s">
        <v>33</v>
      </c>
      <c r="N182" s="2" t="s">
        <v>1063</v>
      </c>
      <c r="O182" s="2" t="s">
        <v>33</v>
      </c>
      <c r="P182" s="2" t="s">
        <v>1064</v>
      </c>
      <c r="Q182" s="2" t="s">
        <v>985</v>
      </c>
      <c r="R182" s="2" t="s">
        <v>993</v>
      </c>
      <c r="S182" s="2" t="s">
        <v>1065</v>
      </c>
      <c r="T182" s="2" t="s">
        <v>1066</v>
      </c>
      <c r="U182" s="2" t="s">
        <v>1067</v>
      </c>
      <c r="V182" s="2"/>
    </row>
    <row r="183">
      <c r="A183" s="2">
        <v>182</v>
      </c>
      <c r="B183" s="2" t="s">
        <v>41</v>
      </c>
      <c r="C183" s="2" t="s">
        <v>1068</v>
      </c>
      <c r="D183" s="2" t="s">
        <v>980</v>
      </c>
      <c r="E183" s="2" t="s">
        <v>25</v>
      </c>
      <c r="F183" s="2" t="s">
        <v>72</v>
      </c>
      <c r="G183" s="2" t="s">
        <v>73</v>
      </c>
      <c r="H183" s="2" t="s">
        <v>991</v>
      </c>
      <c r="I183" s="2" t="s">
        <v>982</v>
      </c>
      <c r="J183" s="2" t="s">
        <v>676</v>
      </c>
      <c r="K183" s="2" t="s">
        <v>104</v>
      </c>
      <c r="L183" s="2" t="s">
        <v>33</v>
      </c>
      <c r="M183" s="2" t="s">
        <v>998</v>
      </c>
      <c r="N183" s="2" t="s">
        <v>1069</v>
      </c>
      <c r="O183" s="2" t="s">
        <v>33</v>
      </c>
      <c r="P183" s="2" t="s">
        <v>1070</v>
      </c>
      <c r="Q183" s="2" t="s">
        <v>985</v>
      </c>
      <c r="R183" s="2" t="s">
        <v>993</v>
      </c>
      <c r="S183" s="2" t="s">
        <v>1071</v>
      </c>
      <c r="T183" s="2" t="s">
        <v>1072</v>
      </c>
      <c r="U183" s="2" t="s">
        <v>1073</v>
      </c>
      <c r="V183" s="2"/>
    </row>
    <row r="184">
      <c r="A184" s="2">
        <v>183</v>
      </c>
      <c r="B184" s="2" t="s">
        <v>82</v>
      </c>
      <c r="C184" s="2" t="s">
        <v>1074</v>
      </c>
      <c r="D184" s="2" t="s">
        <v>980</v>
      </c>
      <c r="E184" s="2" t="s">
        <v>25</v>
      </c>
      <c r="F184" s="2" t="s">
        <v>26</v>
      </c>
      <c r="G184" s="2" t="s">
        <v>73</v>
      </c>
      <c r="H184" s="2" t="s">
        <v>981</v>
      </c>
      <c r="I184" s="2" t="s">
        <v>982</v>
      </c>
      <c r="J184" s="2" t="s">
        <v>1075</v>
      </c>
      <c r="K184" s="2" t="s">
        <v>62</v>
      </c>
      <c r="L184" s="2" t="s">
        <v>33</v>
      </c>
      <c r="M184" s="2" t="s">
        <v>33</v>
      </c>
      <c r="N184" s="2" t="s">
        <v>1076</v>
      </c>
      <c r="O184" s="2" t="s">
        <v>33</v>
      </c>
      <c r="P184" s="2" t="s">
        <v>1077</v>
      </c>
      <c r="Q184" s="2" t="s">
        <v>985</v>
      </c>
      <c r="R184" s="2" t="s">
        <v>986</v>
      </c>
      <c r="S184" s="2" t="s">
        <v>1078</v>
      </c>
      <c r="T184" s="2" t="s">
        <v>1079</v>
      </c>
      <c r="U184" s="2" t="s">
        <v>1080</v>
      </c>
      <c r="V184" s="2" t="s">
        <v>81</v>
      </c>
    </row>
    <row r="185">
      <c r="A185" s="2">
        <v>184</v>
      </c>
      <c r="B185" s="2" t="s">
        <v>117</v>
      </c>
      <c r="C185" s="2" t="s">
        <v>1081</v>
      </c>
      <c r="D185" s="2" t="s">
        <v>980</v>
      </c>
      <c r="E185" s="2" t="s">
        <v>25</v>
      </c>
      <c r="F185" s="2" t="s">
        <v>58</v>
      </c>
      <c r="G185" s="2" t="s">
        <v>59</v>
      </c>
      <c r="H185" s="2" t="s">
        <v>60</v>
      </c>
      <c r="I185" s="2" t="s">
        <v>29</v>
      </c>
      <c r="J185" s="2" t="s">
        <v>676</v>
      </c>
      <c r="K185" s="2" t="s">
        <v>104</v>
      </c>
      <c r="L185" s="2" t="s">
        <v>33</v>
      </c>
      <c r="M185" s="2" t="s">
        <v>33</v>
      </c>
      <c r="N185" s="2" t="s">
        <v>243</v>
      </c>
      <c r="O185" s="2" t="s">
        <v>33</v>
      </c>
      <c r="P185" s="2" t="s">
        <v>76</v>
      </c>
      <c r="Q185" s="2" t="s">
        <v>1082</v>
      </c>
      <c r="R185" s="2" t="s">
        <v>66</v>
      </c>
      <c r="S185" s="2" t="s">
        <v>1083</v>
      </c>
      <c r="T185" s="2" t="s">
        <v>1084</v>
      </c>
      <c r="U185" s="2" t="s">
        <v>1085</v>
      </c>
      <c r="V185" s="2"/>
    </row>
    <row r="186">
      <c r="A186" s="2">
        <v>185</v>
      </c>
      <c r="B186" s="2" t="s">
        <v>41</v>
      </c>
      <c r="C186" s="2" t="s">
        <v>1086</v>
      </c>
      <c r="D186" s="2" t="s">
        <v>980</v>
      </c>
      <c r="E186" s="2" t="s">
        <v>25</v>
      </c>
      <c r="F186" s="2" t="s">
        <v>72</v>
      </c>
      <c r="G186" s="2" t="s">
        <v>73</v>
      </c>
      <c r="H186" s="2" t="s">
        <v>991</v>
      </c>
      <c r="I186" s="2" t="s">
        <v>982</v>
      </c>
      <c r="J186" s="2" t="s">
        <v>676</v>
      </c>
      <c r="K186" s="2" t="s">
        <v>31</v>
      </c>
      <c r="L186" s="2" t="s">
        <v>33</v>
      </c>
      <c r="M186" s="2" t="s">
        <v>998</v>
      </c>
      <c r="N186" s="2" t="s">
        <v>1087</v>
      </c>
      <c r="O186" s="2" t="s">
        <v>33</v>
      </c>
      <c r="P186" s="2" t="s">
        <v>1088</v>
      </c>
      <c r="Q186" s="2" t="s">
        <v>985</v>
      </c>
      <c r="R186" s="2" t="s">
        <v>993</v>
      </c>
      <c r="S186" s="2" t="s">
        <v>1089</v>
      </c>
      <c r="T186" s="2" t="s">
        <v>1090</v>
      </c>
      <c r="U186" s="2" t="s">
        <v>1091</v>
      </c>
      <c r="V186" s="2"/>
    </row>
    <row r="187">
      <c r="A187" s="2">
        <v>186</v>
      </c>
      <c r="B187" s="2" t="s">
        <v>41</v>
      </c>
      <c r="C187" s="2" t="s">
        <v>1092</v>
      </c>
      <c r="D187" s="2" t="s">
        <v>980</v>
      </c>
      <c r="E187" s="2" t="s">
        <v>25</v>
      </c>
      <c r="F187" s="2" t="s">
        <v>72</v>
      </c>
      <c r="G187" s="2" t="s">
        <v>73</v>
      </c>
      <c r="H187" s="2" t="s">
        <v>991</v>
      </c>
      <c r="I187" s="2" t="s">
        <v>982</v>
      </c>
      <c r="J187" s="2" t="s">
        <v>676</v>
      </c>
      <c r="K187" s="2" t="s">
        <v>161</v>
      </c>
      <c r="L187" s="2" t="s">
        <v>33</v>
      </c>
      <c r="M187" s="2" t="s">
        <v>998</v>
      </c>
      <c r="N187" s="2" t="s">
        <v>1093</v>
      </c>
      <c r="O187" s="2" t="s">
        <v>33</v>
      </c>
      <c r="P187" s="2" t="s">
        <v>1094</v>
      </c>
      <c r="Q187" s="2" t="s">
        <v>985</v>
      </c>
      <c r="R187" s="2" t="s">
        <v>993</v>
      </c>
      <c r="S187" s="2" t="s">
        <v>1095</v>
      </c>
      <c r="T187" s="2" t="s">
        <v>1096</v>
      </c>
      <c r="U187" s="2" t="s">
        <v>1097</v>
      </c>
      <c r="V187" s="2"/>
    </row>
    <row r="188">
      <c r="A188" s="2">
        <v>187</v>
      </c>
      <c r="B188" s="2" t="s">
        <v>41</v>
      </c>
      <c r="C188" s="2" t="s">
        <v>1098</v>
      </c>
      <c r="D188" s="2" t="s">
        <v>980</v>
      </c>
      <c r="E188" s="2" t="s">
        <v>25</v>
      </c>
      <c r="F188" s="2" t="s">
        <v>26</v>
      </c>
      <c r="G188" s="2" t="s">
        <v>73</v>
      </c>
      <c r="H188" s="2" t="s">
        <v>981</v>
      </c>
      <c r="I188" s="2" t="s">
        <v>982</v>
      </c>
      <c r="J188" s="2" t="s">
        <v>1075</v>
      </c>
      <c r="K188" s="2" t="s">
        <v>62</v>
      </c>
      <c r="L188" s="2" t="s">
        <v>33</v>
      </c>
      <c r="M188" s="2" t="s">
        <v>33</v>
      </c>
      <c r="N188" s="2" t="s">
        <v>1012</v>
      </c>
      <c r="O188" s="2" t="s">
        <v>33</v>
      </c>
      <c r="P188" s="2" t="s">
        <v>76</v>
      </c>
      <c r="Q188" s="2" t="s">
        <v>985</v>
      </c>
      <c r="R188" s="2" t="s">
        <v>986</v>
      </c>
      <c r="S188" s="2" t="s">
        <v>1099</v>
      </c>
      <c r="T188" s="2" t="s">
        <v>1100</v>
      </c>
      <c r="U188" s="2" t="s">
        <v>1101</v>
      </c>
      <c r="V188" s="2"/>
    </row>
    <row r="189">
      <c r="A189" s="2">
        <v>188</v>
      </c>
      <c r="B189" s="2" t="s">
        <v>82</v>
      </c>
      <c r="C189" s="2" t="s">
        <v>1102</v>
      </c>
      <c r="D189" s="2" t="s">
        <v>980</v>
      </c>
      <c r="E189" s="2" t="s">
        <v>25</v>
      </c>
      <c r="F189" s="2" t="s">
        <v>72</v>
      </c>
      <c r="G189" s="2" t="s">
        <v>73</v>
      </c>
      <c r="H189" s="2" t="s">
        <v>991</v>
      </c>
      <c r="I189" s="2" t="s">
        <v>982</v>
      </c>
      <c r="J189" s="2" t="s">
        <v>676</v>
      </c>
      <c r="K189" s="2" t="s">
        <v>31</v>
      </c>
      <c r="L189" s="2" t="s">
        <v>33</v>
      </c>
      <c r="M189" s="2" t="s">
        <v>33</v>
      </c>
      <c r="N189" s="2" t="s">
        <v>1012</v>
      </c>
      <c r="O189" s="2" t="s">
        <v>33</v>
      </c>
      <c r="P189" s="2" t="s">
        <v>1103</v>
      </c>
      <c r="Q189" s="2" t="s">
        <v>985</v>
      </c>
      <c r="R189" s="2" t="s">
        <v>993</v>
      </c>
      <c r="S189" s="2" t="s">
        <v>1104</v>
      </c>
      <c r="T189" s="2" t="s">
        <v>1105</v>
      </c>
      <c r="U189" s="2" t="s">
        <v>1106</v>
      </c>
      <c r="V189" s="2" t="s">
        <v>81</v>
      </c>
    </row>
    <row r="190">
      <c r="A190" s="2">
        <v>189</v>
      </c>
      <c r="B190" s="2" t="s">
        <v>82</v>
      </c>
      <c r="C190" s="2" t="s">
        <v>1107</v>
      </c>
      <c r="D190" s="2" t="s">
        <v>980</v>
      </c>
      <c r="E190" s="2" t="s">
        <v>25</v>
      </c>
      <c r="F190" s="2" t="s">
        <v>72</v>
      </c>
      <c r="G190" s="2" t="s">
        <v>73</v>
      </c>
      <c r="H190" s="2" t="s">
        <v>991</v>
      </c>
      <c r="I190" s="2" t="s">
        <v>982</v>
      </c>
      <c r="J190" s="2" t="s">
        <v>676</v>
      </c>
      <c r="K190" s="2" t="s">
        <v>104</v>
      </c>
      <c r="L190" s="2" t="s">
        <v>33</v>
      </c>
      <c r="M190" s="2" t="s">
        <v>33</v>
      </c>
      <c r="N190" s="2" t="s">
        <v>1108</v>
      </c>
      <c r="O190" s="2" t="s">
        <v>33</v>
      </c>
      <c r="P190" s="2" t="s">
        <v>1109</v>
      </c>
      <c r="Q190" s="2" t="s">
        <v>985</v>
      </c>
      <c r="R190" s="2" t="s">
        <v>993</v>
      </c>
      <c r="S190" s="2" t="s">
        <v>1110</v>
      </c>
      <c r="T190" s="2" t="s">
        <v>1111</v>
      </c>
      <c r="U190" s="2" t="s">
        <v>1112</v>
      </c>
      <c r="V190" s="2" t="s">
        <v>1113</v>
      </c>
    </row>
    <row r="191">
      <c r="A191" s="2">
        <v>190</v>
      </c>
      <c r="B191" s="2" t="s">
        <v>41</v>
      </c>
      <c r="C191" s="2" t="s">
        <v>1114</v>
      </c>
      <c r="D191" s="2" t="s">
        <v>980</v>
      </c>
      <c r="E191" s="2" t="s">
        <v>25</v>
      </c>
      <c r="F191" s="2" t="s">
        <v>72</v>
      </c>
      <c r="G191" s="2" t="s">
        <v>73</v>
      </c>
      <c r="H191" s="2" t="s">
        <v>991</v>
      </c>
      <c r="I191" s="2" t="s">
        <v>982</v>
      </c>
      <c r="J191" s="2" t="s">
        <v>676</v>
      </c>
      <c r="K191" s="2" t="s">
        <v>31</v>
      </c>
      <c r="L191" s="2" t="s">
        <v>33</v>
      </c>
      <c r="M191" s="2" t="s">
        <v>33</v>
      </c>
      <c r="N191" s="2" t="s">
        <v>1012</v>
      </c>
      <c r="O191" s="2" t="s">
        <v>218</v>
      </c>
      <c r="P191" s="2" t="s">
        <v>1115</v>
      </c>
      <c r="Q191" s="2" t="s">
        <v>985</v>
      </c>
      <c r="R191" s="2" t="s">
        <v>993</v>
      </c>
      <c r="S191" s="2" t="s">
        <v>1116</v>
      </c>
      <c r="T191" s="2" t="s">
        <v>1117</v>
      </c>
      <c r="U191" s="2" t="s">
        <v>1118</v>
      </c>
      <c r="V191" s="2"/>
    </row>
    <row r="192">
      <c r="A192" s="2">
        <v>191</v>
      </c>
      <c r="B192" s="2" t="s">
        <v>22</v>
      </c>
      <c r="C192" s="2" t="s">
        <v>1119</v>
      </c>
      <c r="D192" s="2" t="s">
        <v>980</v>
      </c>
      <c r="E192" s="2" t="s">
        <v>25</v>
      </c>
      <c r="F192" s="2" t="s">
        <v>26</v>
      </c>
      <c r="G192" s="2" t="s">
        <v>73</v>
      </c>
      <c r="H192" s="2" t="s">
        <v>981</v>
      </c>
      <c r="I192" s="2" t="s">
        <v>982</v>
      </c>
      <c r="J192" s="2" t="s">
        <v>676</v>
      </c>
      <c r="K192" s="2" t="s">
        <v>48</v>
      </c>
      <c r="L192" s="2" t="s">
        <v>33</v>
      </c>
      <c r="M192" s="2" t="s">
        <v>33</v>
      </c>
      <c r="N192" s="2" t="s">
        <v>1046</v>
      </c>
      <c r="O192" s="2" t="s">
        <v>33</v>
      </c>
      <c r="P192" s="2" t="s">
        <v>76</v>
      </c>
      <c r="Q192" s="2" t="s">
        <v>985</v>
      </c>
      <c r="R192" s="2" t="s">
        <v>986</v>
      </c>
      <c r="S192" s="2" t="s">
        <v>1120</v>
      </c>
      <c r="T192" s="2" t="s">
        <v>1121</v>
      </c>
      <c r="U192" s="2" t="s">
        <v>1122</v>
      </c>
      <c r="V192" s="2"/>
    </row>
    <row r="193">
      <c r="A193" s="2">
        <v>192</v>
      </c>
      <c r="B193" s="2" t="s">
        <v>117</v>
      </c>
      <c r="C193" s="2" t="s">
        <v>1123</v>
      </c>
      <c r="D193" s="2" t="s">
        <v>980</v>
      </c>
      <c r="E193" s="2" t="s">
        <v>25</v>
      </c>
      <c r="F193" s="2" t="s">
        <v>72</v>
      </c>
      <c r="G193" s="2" t="s">
        <v>73</v>
      </c>
      <c r="H193" s="2" t="s">
        <v>991</v>
      </c>
      <c r="I193" s="2" t="s">
        <v>982</v>
      </c>
      <c r="J193" s="2" t="s">
        <v>676</v>
      </c>
      <c r="K193" s="2" t="s">
        <v>48</v>
      </c>
      <c r="L193" s="2" t="s">
        <v>33</v>
      </c>
      <c r="M193" s="2" t="s">
        <v>33</v>
      </c>
      <c r="N193" s="2" t="s">
        <v>1124</v>
      </c>
      <c r="O193" s="2" t="s">
        <v>33</v>
      </c>
      <c r="P193" s="2" t="s">
        <v>1125</v>
      </c>
      <c r="Q193" s="2" t="s">
        <v>985</v>
      </c>
      <c r="R193" s="2" t="s">
        <v>993</v>
      </c>
      <c r="S193" s="2" t="s">
        <v>1126</v>
      </c>
      <c r="T193" s="2" t="s">
        <v>1127</v>
      </c>
      <c r="U193" s="2" t="s">
        <v>1128</v>
      </c>
      <c r="V193" s="2"/>
    </row>
    <row r="194">
      <c r="A194" s="2">
        <v>193</v>
      </c>
      <c r="B194" s="2" t="s">
        <v>192</v>
      </c>
      <c r="C194" s="2" t="s">
        <v>1129</v>
      </c>
      <c r="D194" s="2" t="s">
        <v>980</v>
      </c>
      <c r="E194" s="2" t="s">
        <v>25</v>
      </c>
      <c r="F194" s="2" t="s">
        <v>72</v>
      </c>
      <c r="G194" s="2" t="s">
        <v>73</v>
      </c>
      <c r="H194" s="2" t="s">
        <v>991</v>
      </c>
      <c r="I194" s="2" t="s">
        <v>982</v>
      </c>
      <c r="J194" s="2" t="s">
        <v>676</v>
      </c>
      <c r="K194" s="2" t="s">
        <v>104</v>
      </c>
      <c r="L194" s="2" t="s">
        <v>33</v>
      </c>
      <c r="M194" s="2" t="s">
        <v>33</v>
      </c>
      <c r="N194" s="2" t="s">
        <v>1023</v>
      </c>
      <c r="O194" s="2" t="s">
        <v>33</v>
      </c>
      <c r="P194" s="2" t="s">
        <v>1130</v>
      </c>
      <c r="Q194" s="2" t="s">
        <v>985</v>
      </c>
      <c r="R194" s="2" t="s">
        <v>993</v>
      </c>
      <c r="S194" s="2" t="s">
        <v>1131</v>
      </c>
      <c r="T194" s="2" t="s">
        <v>1132</v>
      </c>
      <c r="U194" s="2" t="s">
        <v>1133</v>
      </c>
      <c r="V194" s="2" t="s">
        <v>197</v>
      </c>
    </row>
    <row r="195">
      <c r="A195" s="2">
        <v>194</v>
      </c>
      <c r="B195" s="2" t="s">
        <v>41</v>
      </c>
      <c r="C195" s="2" t="s">
        <v>1134</v>
      </c>
      <c r="D195" s="2" t="s">
        <v>980</v>
      </c>
      <c r="E195" s="2" t="s">
        <v>25</v>
      </c>
      <c r="F195" s="2" t="s">
        <v>72</v>
      </c>
      <c r="G195" s="2" t="s">
        <v>73</v>
      </c>
      <c r="H195" s="2" t="s">
        <v>991</v>
      </c>
      <c r="I195" s="2" t="s">
        <v>982</v>
      </c>
      <c r="J195" s="2" t="s">
        <v>676</v>
      </c>
      <c r="K195" s="2" t="s">
        <v>48</v>
      </c>
      <c r="L195" s="2" t="s">
        <v>33</v>
      </c>
      <c r="M195" s="2" t="s">
        <v>998</v>
      </c>
      <c r="N195" s="2" t="s">
        <v>1093</v>
      </c>
      <c r="O195" s="2" t="s">
        <v>33</v>
      </c>
      <c r="P195" s="2" t="s">
        <v>1135</v>
      </c>
      <c r="Q195" s="2" t="s">
        <v>985</v>
      </c>
      <c r="R195" s="2" t="s">
        <v>993</v>
      </c>
      <c r="S195" s="2" t="s">
        <v>1059</v>
      </c>
      <c r="T195" s="2" t="s">
        <v>1136</v>
      </c>
      <c r="U195" s="2" t="s">
        <v>1137</v>
      </c>
      <c r="V195" s="2"/>
    </row>
    <row r="196">
      <c r="A196" s="2">
        <v>195</v>
      </c>
      <c r="B196" s="2" t="s">
        <v>117</v>
      </c>
      <c r="C196" s="2" t="s">
        <v>1138</v>
      </c>
      <c r="D196" s="2" t="s">
        <v>980</v>
      </c>
      <c r="E196" s="2" t="s">
        <v>25</v>
      </c>
      <c r="F196" s="2" t="s">
        <v>72</v>
      </c>
      <c r="G196" s="2" t="s">
        <v>73</v>
      </c>
      <c r="H196" s="2" t="s">
        <v>991</v>
      </c>
      <c r="I196" s="2" t="s">
        <v>982</v>
      </c>
      <c r="J196" s="2" t="s">
        <v>676</v>
      </c>
      <c r="K196" s="2" t="s">
        <v>104</v>
      </c>
      <c r="L196" s="2" t="s">
        <v>33</v>
      </c>
      <c r="M196" s="2" t="s">
        <v>998</v>
      </c>
      <c r="N196" s="2" t="s">
        <v>999</v>
      </c>
      <c r="O196" s="2" t="s">
        <v>33</v>
      </c>
      <c r="P196" s="2" t="s">
        <v>76</v>
      </c>
      <c r="Q196" s="2" t="s">
        <v>985</v>
      </c>
      <c r="R196" s="2" t="s">
        <v>993</v>
      </c>
      <c r="S196" s="2" t="s">
        <v>1139</v>
      </c>
      <c r="T196" s="2" t="s">
        <v>1140</v>
      </c>
      <c r="U196" s="2" t="s">
        <v>1141</v>
      </c>
      <c r="V196" s="2"/>
    </row>
    <row r="197">
      <c r="A197" s="2">
        <v>196</v>
      </c>
      <c r="B197" s="2" t="s">
        <v>82</v>
      </c>
      <c r="C197" s="2" t="s">
        <v>1142</v>
      </c>
      <c r="D197" s="2" t="s">
        <v>980</v>
      </c>
      <c r="E197" s="2" t="s">
        <v>25</v>
      </c>
      <c r="F197" s="2" t="s">
        <v>72</v>
      </c>
      <c r="G197" s="2" t="s">
        <v>73</v>
      </c>
      <c r="H197" s="2" t="s">
        <v>991</v>
      </c>
      <c r="I197" s="2" t="s">
        <v>982</v>
      </c>
      <c r="J197" s="2" t="s">
        <v>676</v>
      </c>
      <c r="K197" s="2" t="s">
        <v>31</v>
      </c>
      <c r="L197" s="2" t="s">
        <v>33</v>
      </c>
      <c r="M197" s="2" t="s">
        <v>33</v>
      </c>
      <c r="N197" s="2" t="s">
        <v>1143</v>
      </c>
      <c r="O197" s="2" t="s">
        <v>33</v>
      </c>
      <c r="P197" s="2" t="s">
        <v>1144</v>
      </c>
      <c r="Q197" s="2" t="s">
        <v>985</v>
      </c>
      <c r="R197" s="2" t="s">
        <v>993</v>
      </c>
      <c r="S197" s="2" t="s">
        <v>1145</v>
      </c>
      <c r="T197" s="2" t="s">
        <v>1146</v>
      </c>
      <c r="U197" s="2" t="s">
        <v>1147</v>
      </c>
      <c r="V197" s="2"/>
    </row>
    <row r="198">
      <c r="A198" s="2">
        <v>197</v>
      </c>
      <c r="B198" s="2" t="s">
        <v>131</v>
      </c>
      <c r="C198" s="2" t="s">
        <v>1148</v>
      </c>
      <c r="D198" s="2" t="s">
        <v>980</v>
      </c>
      <c r="E198" s="2" t="s">
        <v>25</v>
      </c>
      <c r="F198" s="2" t="s">
        <v>72</v>
      </c>
      <c r="G198" s="2" t="s">
        <v>73</v>
      </c>
      <c r="H198" s="2" t="s">
        <v>1149</v>
      </c>
      <c r="I198" s="2" t="s">
        <v>1150</v>
      </c>
      <c r="J198" s="2" t="s">
        <v>112</v>
      </c>
      <c r="K198" s="2" t="s">
        <v>62</v>
      </c>
      <c r="L198" s="2" t="s">
        <v>33</v>
      </c>
      <c r="M198" s="2" t="s">
        <v>33</v>
      </c>
      <c r="N198" s="2" t="s">
        <v>86</v>
      </c>
      <c r="O198" s="2" t="s">
        <v>33</v>
      </c>
      <c r="P198" s="2" t="s">
        <v>1151</v>
      </c>
      <c r="Q198" s="2" t="s">
        <v>1152</v>
      </c>
      <c r="R198" s="2" t="s">
        <v>1153</v>
      </c>
      <c r="S198" s="2" t="s">
        <v>1154</v>
      </c>
      <c r="T198" s="2" t="s">
        <v>1155</v>
      </c>
      <c r="U198" s="2" t="s">
        <v>1156</v>
      </c>
      <c r="V198" s="2"/>
    </row>
    <row r="199">
      <c r="A199" s="2">
        <v>198</v>
      </c>
      <c r="B199" s="2" t="s">
        <v>117</v>
      </c>
      <c r="C199" s="2" t="s">
        <v>1157</v>
      </c>
      <c r="D199" s="2" t="s">
        <v>980</v>
      </c>
      <c r="E199" s="2" t="s">
        <v>25</v>
      </c>
      <c r="F199" s="2" t="s">
        <v>26</v>
      </c>
      <c r="G199" s="2" t="s">
        <v>27</v>
      </c>
      <c r="H199" s="2" t="s">
        <v>981</v>
      </c>
      <c r="I199" s="2" t="s">
        <v>982</v>
      </c>
      <c r="J199" s="2" t="s">
        <v>580</v>
      </c>
      <c r="K199" s="2" t="s">
        <v>104</v>
      </c>
      <c r="L199" s="2" t="s">
        <v>33</v>
      </c>
      <c r="M199" s="2" t="s">
        <v>1158</v>
      </c>
      <c r="N199" s="2" t="s">
        <v>1159</v>
      </c>
      <c r="O199" s="2" t="s">
        <v>33</v>
      </c>
      <c r="P199" s="2" t="s">
        <v>1160</v>
      </c>
      <c r="Q199" s="2" t="s">
        <v>985</v>
      </c>
      <c r="R199" s="2" t="s">
        <v>986</v>
      </c>
      <c r="S199" s="2" t="s">
        <v>1161</v>
      </c>
      <c r="T199" s="2"/>
      <c r="U199" s="2" t="s">
        <v>1162</v>
      </c>
      <c r="V199" s="2"/>
    </row>
    <row r="200">
      <c r="A200" s="2">
        <v>199</v>
      </c>
      <c r="B200" s="2" t="s">
        <v>56</v>
      </c>
      <c r="C200" s="2" t="s">
        <v>1163</v>
      </c>
      <c r="D200" s="2" t="s">
        <v>980</v>
      </c>
      <c r="E200" s="2" t="s">
        <v>25</v>
      </c>
      <c r="F200" s="2" t="s">
        <v>72</v>
      </c>
      <c r="G200" s="2" t="s">
        <v>73</v>
      </c>
      <c r="H200" s="2" t="s">
        <v>302</v>
      </c>
      <c r="I200" s="2" t="s">
        <v>176</v>
      </c>
      <c r="J200" s="2" t="s">
        <v>112</v>
      </c>
      <c r="K200" s="2" t="s">
        <v>48</v>
      </c>
      <c r="L200" s="2" t="s">
        <v>139</v>
      </c>
      <c r="M200" s="2" t="s">
        <v>1164</v>
      </c>
      <c r="N200" s="2" t="s">
        <v>1165</v>
      </c>
      <c r="O200" s="2" t="s">
        <v>33</v>
      </c>
      <c r="P200" s="2" t="s">
        <v>1166</v>
      </c>
      <c r="Q200" s="2" t="s">
        <v>181</v>
      </c>
      <c r="R200" s="2" t="s">
        <v>305</v>
      </c>
      <c r="S200" s="2" t="s">
        <v>655</v>
      </c>
      <c r="T200" s="2" t="s">
        <v>1167</v>
      </c>
      <c r="U200" s="2" t="s">
        <v>1168</v>
      </c>
      <c r="V200" s="2"/>
    </row>
    <row r="201">
      <c r="A201" s="2">
        <v>200</v>
      </c>
      <c r="B201" s="2" t="s">
        <v>117</v>
      </c>
      <c r="C201" s="2" t="s">
        <v>1169</v>
      </c>
      <c r="D201" s="2" t="s">
        <v>980</v>
      </c>
      <c r="E201" s="2" t="s">
        <v>25</v>
      </c>
      <c r="F201" s="2" t="s">
        <v>72</v>
      </c>
      <c r="G201" s="2" t="s">
        <v>73</v>
      </c>
      <c r="H201" s="2" t="s">
        <v>302</v>
      </c>
      <c r="I201" s="2" t="s">
        <v>176</v>
      </c>
      <c r="J201" s="2" t="s">
        <v>629</v>
      </c>
      <c r="K201" s="2" t="s">
        <v>31</v>
      </c>
      <c r="L201" s="2" t="s">
        <v>897</v>
      </c>
      <c r="M201" s="2" t="s">
        <v>1170</v>
      </c>
      <c r="N201" s="2" t="s">
        <v>217</v>
      </c>
      <c r="O201" s="2" t="s">
        <v>33</v>
      </c>
      <c r="P201" s="2" t="s">
        <v>1171</v>
      </c>
      <c r="Q201" s="2" t="s">
        <v>181</v>
      </c>
      <c r="R201" s="2" t="s">
        <v>305</v>
      </c>
      <c r="S201" s="2" t="s">
        <v>1172</v>
      </c>
      <c r="T201" s="2" t="s">
        <v>1173</v>
      </c>
      <c r="U201" s="2" t="s">
        <v>1174</v>
      </c>
      <c r="V201" s="2" t="s">
        <v>81</v>
      </c>
    </row>
    <row r="202">
      <c r="A202" s="2">
        <v>201</v>
      </c>
      <c r="B202" s="2" t="s">
        <v>117</v>
      </c>
      <c r="C202" s="2" t="s">
        <v>1175</v>
      </c>
      <c r="D202" s="2" t="s">
        <v>980</v>
      </c>
      <c r="E202" s="2" t="s">
        <v>25</v>
      </c>
      <c r="F202" s="2" t="s">
        <v>72</v>
      </c>
      <c r="G202" s="2" t="s">
        <v>73</v>
      </c>
      <c r="H202" s="2" t="s">
        <v>991</v>
      </c>
      <c r="I202" s="2" t="s">
        <v>982</v>
      </c>
      <c r="J202" s="2" t="s">
        <v>676</v>
      </c>
      <c r="K202" s="2" t="s">
        <v>104</v>
      </c>
      <c r="L202" s="2" t="s">
        <v>33</v>
      </c>
      <c r="M202" s="2" t="s">
        <v>33</v>
      </c>
      <c r="N202" s="2" t="s">
        <v>1176</v>
      </c>
      <c r="O202" s="2" t="s">
        <v>33</v>
      </c>
      <c r="P202" s="2" t="s">
        <v>1177</v>
      </c>
      <c r="Q202" s="2" t="s">
        <v>985</v>
      </c>
      <c r="R202" s="2" t="s">
        <v>993</v>
      </c>
      <c r="S202" s="2" t="s">
        <v>1178</v>
      </c>
      <c r="T202" s="2" t="s">
        <v>1179</v>
      </c>
      <c r="U202" s="2" t="s">
        <v>1180</v>
      </c>
      <c r="V202" s="2"/>
    </row>
    <row r="203">
      <c r="A203" s="2">
        <v>202</v>
      </c>
      <c r="B203" s="2" t="s">
        <v>131</v>
      </c>
      <c r="C203" s="2" t="s">
        <v>1181</v>
      </c>
      <c r="D203" s="2" t="s">
        <v>980</v>
      </c>
      <c r="E203" s="2" t="s">
        <v>25</v>
      </c>
      <c r="F203" s="2" t="s">
        <v>72</v>
      </c>
      <c r="G203" s="2" t="s">
        <v>73</v>
      </c>
      <c r="H203" s="2" t="s">
        <v>302</v>
      </c>
      <c r="I203" s="2" t="s">
        <v>176</v>
      </c>
      <c r="J203" s="2" t="s">
        <v>629</v>
      </c>
      <c r="K203" s="2" t="s">
        <v>48</v>
      </c>
      <c r="L203" s="2" t="s">
        <v>33</v>
      </c>
      <c r="M203" s="2" t="s">
        <v>33</v>
      </c>
      <c r="N203" s="2" t="s">
        <v>34</v>
      </c>
      <c r="O203" s="2" t="s">
        <v>33</v>
      </c>
      <c r="P203" s="2" t="s">
        <v>1182</v>
      </c>
      <c r="Q203" s="2" t="s">
        <v>181</v>
      </c>
      <c r="R203" s="2" t="s">
        <v>305</v>
      </c>
      <c r="S203" s="2" t="s">
        <v>245</v>
      </c>
      <c r="T203" s="2" t="s">
        <v>1183</v>
      </c>
      <c r="U203" s="2" t="s">
        <v>1184</v>
      </c>
      <c r="V203" s="2"/>
    </row>
    <row r="204">
      <c r="A204" s="2">
        <v>203</v>
      </c>
      <c r="B204" s="2" t="s">
        <v>41</v>
      </c>
      <c r="C204" s="2" t="s">
        <v>1185</v>
      </c>
      <c r="D204" s="2" t="s">
        <v>980</v>
      </c>
      <c r="E204" s="2" t="s">
        <v>25</v>
      </c>
      <c r="F204" s="2" t="s">
        <v>26</v>
      </c>
      <c r="G204" s="2" t="s">
        <v>73</v>
      </c>
      <c r="H204" s="2" t="s">
        <v>981</v>
      </c>
      <c r="I204" s="2" t="s">
        <v>982</v>
      </c>
      <c r="J204" s="2" t="s">
        <v>676</v>
      </c>
      <c r="K204" s="2" t="s">
        <v>161</v>
      </c>
      <c r="L204" s="2" t="s">
        <v>33</v>
      </c>
      <c r="M204" s="2" t="s">
        <v>998</v>
      </c>
      <c r="N204" s="2" t="s">
        <v>1069</v>
      </c>
      <c r="O204" s="2" t="s">
        <v>33</v>
      </c>
      <c r="P204" s="2" t="s">
        <v>1186</v>
      </c>
      <c r="Q204" s="2" t="s">
        <v>985</v>
      </c>
      <c r="R204" s="2" t="s">
        <v>986</v>
      </c>
      <c r="S204" s="2" t="s">
        <v>1187</v>
      </c>
      <c r="T204" s="2" t="s">
        <v>1188</v>
      </c>
      <c r="U204" s="2" t="s">
        <v>1189</v>
      </c>
      <c r="V204" s="2"/>
    </row>
    <row r="205">
      <c r="A205" s="2">
        <v>204</v>
      </c>
      <c r="B205" s="2" t="s">
        <v>117</v>
      </c>
      <c r="C205" s="2" t="s">
        <v>1190</v>
      </c>
      <c r="D205" s="2" t="s">
        <v>980</v>
      </c>
      <c r="E205" s="2" t="s">
        <v>25</v>
      </c>
      <c r="F205" s="2" t="s">
        <v>72</v>
      </c>
      <c r="G205" s="2" t="s">
        <v>73</v>
      </c>
      <c r="H205" s="2" t="s">
        <v>991</v>
      </c>
      <c r="I205" s="2" t="s">
        <v>982</v>
      </c>
      <c r="J205" s="2" t="s">
        <v>676</v>
      </c>
      <c r="K205" s="2" t="s">
        <v>104</v>
      </c>
      <c r="L205" s="2" t="s">
        <v>33</v>
      </c>
      <c r="M205" s="2" t="s">
        <v>998</v>
      </c>
      <c r="N205" s="2" t="s">
        <v>1191</v>
      </c>
      <c r="O205" s="2" t="s">
        <v>33</v>
      </c>
      <c r="P205" s="2" t="s">
        <v>1192</v>
      </c>
      <c r="Q205" s="2" t="s">
        <v>985</v>
      </c>
      <c r="R205" s="2" t="s">
        <v>993</v>
      </c>
      <c r="S205" s="2" t="s">
        <v>1193</v>
      </c>
      <c r="T205" s="2" t="s">
        <v>1194</v>
      </c>
      <c r="U205" s="2" t="s">
        <v>1195</v>
      </c>
      <c r="V205" s="2" t="s">
        <v>563</v>
      </c>
    </row>
    <row r="206">
      <c r="A206" s="2">
        <v>205</v>
      </c>
      <c r="B206" s="2" t="s">
        <v>239</v>
      </c>
      <c r="C206" s="2" t="s">
        <v>1196</v>
      </c>
      <c r="D206" s="2" t="s">
        <v>980</v>
      </c>
      <c r="E206" s="2" t="s">
        <v>25</v>
      </c>
      <c r="F206" s="2" t="s">
        <v>72</v>
      </c>
      <c r="G206" s="2" t="s">
        <v>73</v>
      </c>
      <c r="H206" s="2" t="s">
        <v>302</v>
      </c>
      <c r="I206" s="2" t="s">
        <v>176</v>
      </c>
      <c r="J206" s="2" t="s">
        <v>676</v>
      </c>
      <c r="K206" s="2" t="s">
        <v>48</v>
      </c>
      <c r="L206" s="2" t="s">
        <v>33</v>
      </c>
      <c r="M206" s="2" t="s">
        <v>33</v>
      </c>
      <c r="N206" s="2" t="s">
        <v>86</v>
      </c>
      <c r="O206" s="2" t="s">
        <v>33</v>
      </c>
      <c r="P206" s="2" t="s">
        <v>76</v>
      </c>
      <c r="Q206" s="2" t="s">
        <v>181</v>
      </c>
      <c r="R206" s="2" t="s">
        <v>305</v>
      </c>
      <c r="S206" s="2" t="s">
        <v>1099</v>
      </c>
      <c r="T206" s="2" t="s">
        <v>1197</v>
      </c>
      <c r="U206" s="2" t="s">
        <v>1198</v>
      </c>
      <c r="V206" s="2" t="s">
        <v>197</v>
      </c>
    </row>
    <row r="207">
      <c r="A207" s="2">
        <v>206</v>
      </c>
      <c r="B207" s="2" t="s">
        <v>117</v>
      </c>
      <c r="C207" s="2" t="s">
        <v>1199</v>
      </c>
      <c r="D207" s="2" t="s">
        <v>980</v>
      </c>
      <c r="E207" s="2" t="s">
        <v>25</v>
      </c>
      <c r="F207" s="2" t="s">
        <v>72</v>
      </c>
      <c r="G207" s="2" t="s">
        <v>73</v>
      </c>
      <c r="H207" s="2" t="s">
        <v>991</v>
      </c>
      <c r="I207" s="2" t="s">
        <v>982</v>
      </c>
      <c r="J207" s="2" t="s">
        <v>676</v>
      </c>
      <c r="K207" s="2" t="s">
        <v>104</v>
      </c>
      <c r="L207" s="2" t="s">
        <v>33</v>
      </c>
      <c r="M207" s="2" t="s">
        <v>1011</v>
      </c>
      <c r="N207" s="2" t="s">
        <v>1200</v>
      </c>
      <c r="O207" s="2" t="s">
        <v>33</v>
      </c>
      <c r="P207" s="2" t="s">
        <v>1201</v>
      </c>
      <c r="Q207" s="2" t="s">
        <v>985</v>
      </c>
      <c r="R207" s="2" t="s">
        <v>993</v>
      </c>
      <c r="S207" s="2" t="s">
        <v>1202</v>
      </c>
      <c r="T207" s="2" t="s">
        <v>1203</v>
      </c>
      <c r="U207" s="2" t="s">
        <v>1204</v>
      </c>
      <c r="V207" s="2"/>
    </row>
    <row r="208">
      <c r="A208" s="2">
        <v>207</v>
      </c>
      <c r="B208" s="2" t="s">
        <v>192</v>
      </c>
      <c r="C208" s="2" t="s">
        <v>1205</v>
      </c>
      <c r="D208" s="2" t="s">
        <v>980</v>
      </c>
      <c r="E208" s="2" t="s">
        <v>25</v>
      </c>
      <c r="F208" s="2" t="s">
        <v>72</v>
      </c>
      <c r="G208" s="2" t="s">
        <v>73</v>
      </c>
      <c r="H208" s="2" t="s">
        <v>991</v>
      </c>
      <c r="I208" s="2" t="s">
        <v>982</v>
      </c>
      <c r="J208" s="2" t="s">
        <v>676</v>
      </c>
      <c r="K208" s="2" t="s">
        <v>31</v>
      </c>
      <c r="L208" s="2" t="s">
        <v>33</v>
      </c>
      <c r="M208" s="2" t="s">
        <v>1011</v>
      </c>
      <c r="N208" s="2" t="s">
        <v>999</v>
      </c>
      <c r="O208" s="2" t="s">
        <v>33</v>
      </c>
      <c r="P208" s="2" t="s">
        <v>76</v>
      </c>
      <c r="Q208" s="2" t="s">
        <v>985</v>
      </c>
      <c r="R208" s="2" t="s">
        <v>993</v>
      </c>
      <c r="S208" s="2" t="s">
        <v>1206</v>
      </c>
      <c r="T208" s="2" t="s">
        <v>1207</v>
      </c>
      <c r="U208" s="2" t="s">
        <v>1208</v>
      </c>
      <c r="V208" s="2"/>
    </row>
    <row r="209">
      <c r="A209" s="2">
        <v>208</v>
      </c>
      <c r="B209" s="2" t="s">
        <v>1209</v>
      </c>
      <c r="C209" s="2" t="s">
        <v>1210</v>
      </c>
      <c r="D209" s="2" t="s">
        <v>980</v>
      </c>
      <c r="E209" s="2" t="s">
        <v>25</v>
      </c>
      <c r="F209" s="2" t="s">
        <v>58</v>
      </c>
      <c r="G209" s="2" t="s">
        <v>59</v>
      </c>
      <c r="H209" s="2" t="s">
        <v>60</v>
      </c>
      <c r="I209" s="2" t="s">
        <v>29</v>
      </c>
      <c r="J209" s="2" t="s">
        <v>112</v>
      </c>
      <c r="K209" s="2" t="s">
        <v>62</v>
      </c>
      <c r="L209" s="2" t="s">
        <v>33</v>
      </c>
      <c r="M209" s="2" t="s">
        <v>63</v>
      </c>
      <c r="N209" s="2" t="s">
        <v>446</v>
      </c>
      <c r="O209" s="2" t="s">
        <v>33</v>
      </c>
      <c r="P209" s="2" t="s">
        <v>76</v>
      </c>
      <c r="Q209" s="2" t="s">
        <v>25</v>
      </c>
      <c r="R209" s="2" t="s">
        <v>66</v>
      </c>
      <c r="S209" s="2" t="s">
        <v>1211</v>
      </c>
      <c r="T209" s="2" t="s">
        <v>1212</v>
      </c>
      <c r="U209" s="2" t="s">
        <v>1213</v>
      </c>
      <c r="V209" s="2"/>
    </row>
    <row r="210">
      <c r="A210" s="2">
        <v>209</v>
      </c>
      <c r="B210" s="2" t="s">
        <v>41</v>
      </c>
      <c r="C210" s="2" t="s">
        <v>1214</v>
      </c>
      <c r="D210" s="2" t="s">
        <v>980</v>
      </c>
      <c r="E210" s="2" t="s">
        <v>25</v>
      </c>
      <c r="F210" s="2" t="s">
        <v>72</v>
      </c>
      <c r="G210" s="2" t="s">
        <v>73</v>
      </c>
      <c r="H210" s="2" t="s">
        <v>991</v>
      </c>
      <c r="I210" s="2" t="s">
        <v>982</v>
      </c>
      <c r="J210" s="2" t="s">
        <v>676</v>
      </c>
      <c r="K210" s="2" t="s">
        <v>104</v>
      </c>
      <c r="L210" s="2" t="s">
        <v>33</v>
      </c>
      <c r="M210" s="2" t="s">
        <v>998</v>
      </c>
      <c r="N210" s="2" t="s">
        <v>1215</v>
      </c>
      <c r="O210" s="2" t="s">
        <v>33</v>
      </c>
      <c r="P210" s="2" t="s">
        <v>1216</v>
      </c>
      <c r="Q210" s="2" t="s">
        <v>985</v>
      </c>
      <c r="R210" s="2" t="s">
        <v>993</v>
      </c>
      <c r="S210" s="2" t="s">
        <v>1217</v>
      </c>
      <c r="T210" s="2" t="s">
        <v>1218</v>
      </c>
      <c r="U210" s="2" t="s">
        <v>1219</v>
      </c>
      <c r="V210" s="2" t="s">
        <v>81</v>
      </c>
    </row>
    <row r="211">
      <c r="A211" s="2">
        <v>210</v>
      </c>
      <c r="B211" s="2" t="s">
        <v>117</v>
      </c>
      <c r="C211" s="2" t="s">
        <v>1220</v>
      </c>
      <c r="D211" s="2" t="s">
        <v>980</v>
      </c>
      <c r="E211" s="2" t="s">
        <v>25</v>
      </c>
      <c r="F211" s="2" t="s">
        <v>72</v>
      </c>
      <c r="G211" s="2" t="s">
        <v>73</v>
      </c>
      <c r="H211" s="2" t="s">
        <v>991</v>
      </c>
      <c r="I211" s="2" t="s">
        <v>982</v>
      </c>
      <c r="J211" s="2" t="s">
        <v>676</v>
      </c>
      <c r="K211" s="2" t="s">
        <v>104</v>
      </c>
      <c r="L211" s="2" t="s">
        <v>33</v>
      </c>
      <c r="M211" s="2" t="s">
        <v>33</v>
      </c>
      <c r="N211" s="2" t="s">
        <v>1221</v>
      </c>
      <c r="O211" s="2" t="s">
        <v>33</v>
      </c>
      <c r="P211" s="2" t="s">
        <v>1222</v>
      </c>
      <c r="Q211" s="2" t="s">
        <v>985</v>
      </c>
      <c r="R211" s="2" t="s">
        <v>993</v>
      </c>
      <c r="S211" s="2" t="s">
        <v>1223</v>
      </c>
      <c r="T211" s="2" t="s">
        <v>1224</v>
      </c>
      <c r="U211" s="2" t="s">
        <v>1225</v>
      </c>
      <c r="V211" s="2"/>
    </row>
    <row r="212">
      <c r="A212" s="2">
        <v>211</v>
      </c>
      <c r="B212" s="2" t="s">
        <v>117</v>
      </c>
      <c r="C212" s="2" t="s">
        <v>1226</v>
      </c>
      <c r="D212" s="2" t="s">
        <v>980</v>
      </c>
      <c r="E212" s="2" t="s">
        <v>25</v>
      </c>
      <c r="F212" s="2" t="s">
        <v>72</v>
      </c>
      <c r="G212" s="2" t="s">
        <v>73</v>
      </c>
      <c r="H212" s="2" t="s">
        <v>991</v>
      </c>
      <c r="I212" s="2" t="s">
        <v>982</v>
      </c>
      <c r="J212" s="2" t="s">
        <v>676</v>
      </c>
      <c r="K212" s="2" t="s">
        <v>104</v>
      </c>
      <c r="L212" s="2" t="s">
        <v>33</v>
      </c>
      <c r="M212" s="2" t="s">
        <v>33</v>
      </c>
      <c r="N212" s="2" t="s">
        <v>999</v>
      </c>
      <c r="O212" s="2" t="s">
        <v>33</v>
      </c>
      <c r="P212" s="2" t="s">
        <v>1227</v>
      </c>
      <c r="Q212" s="2" t="s">
        <v>985</v>
      </c>
      <c r="R212" s="2" t="s">
        <v>993</v>
      </c>
      <c r="S212" s="2" t="s">
        <v>1228</v>
      </c>
      <c r="T212" s="2" t="s">
        <v>1229</v>
      </c>
      <c r="U212" s="2" t="s">
        <v>1230</v>
      </c>
      <c r="V212" s="2"/>
    </row>
    <row r="213">
      <c r="A213" s="2">
        <v>212</v>
      </c>
      <c r="B213" s="2" t="s">
        <v>82</v>
      </c>
      <c r="C213" s="2" t="s">
        <v>1231</v>
      </c>
      <c r="D213" s="2" t="s">
        <v>980</v>
      </c>
      <c r="E213" s="2" t="s">
        <v>25</v>
      </c>
      <c r="F213" s="2" t="s">
        <v>72</v>
      </c>
      <c r="G213" s="2" t="s">
        <v>73</v>
      </c>
      <c r="H213" s="2" t="s">
        <v>991</v>
      </c>
      <c r="I213" s="2" t="s">
        <v>982</v>
      </c>
      <c r="J213" s="2" t="s">
        <v>676</v>
      </c>
      <c r="K213" s="2" t="s">
        <v>104</v>
      </c>
      <c r="L213" s="2" t="s">
        <v>33</v>
      </c>
      <c r="M213" s="2" t="s">
        <v>1011</v>
      </c>
      <c r="N213" s="2" t="s">
        <v>1232</v>
      </c>
      <c r="O213" s="2" t="s">
        <v>33</v>
      </c>
      <c r="P213" s="2" t="s">
        <v>1233</v>
      </c>
      <c r="Q213" s="2" t="s">
        <v>985</v>
      </c>
      <c r="R213" s="2" t="s">
        <v>993</v>
      </c>
      <c r="S213" s="2" t="s">
        <v>1234</v>
      </c>
      <c r="T213" s="2" t="s">
        <v>1235</v>
      </c>
      <c r="U213" s="2" t="s">
        <v>1236</v>
      </c>
      <c r="V213" s="2"/>
    </row>
    <row r="214">
      <c r="A214" s="2">
        <v>213</v>
      </c>
      <c r="B214" s="2" t="s">
        <v>56</v>
      </c>
      <c r="C214" s="2" t="s">
        <v>1237</v>
      </c>
      <c r="D214" s="2" t="s">
        <v>980</v>
      </c>
      <c r="E214" s="2" t="s">
        <v>25</v>
      </c>
      <c r="F214" s="2" t="s">
        <v>72</v>
      </c>
      <c r="G214" s="2" t="s">
        <v>73</v>
      </c>
      <c r="H214" s="2" t="s">
        <v>991</v>
      </c>
      <c r="I214" s="2" t="s">
        <v>982</v>
      </c>
      <c r="J214" s="2" t="s">
        <v>676</v>
      </c>
      <c r="K214" s="2" t="s">
        <v>104</v>
      </c>
      <c r="L214" s="2" t="s">
        <v>33</v>
      </c>
      <c r="M214" s="2" t="s">
        <v>33</v>
      </c>
      <c r="N214" s="2" t="s">
        <v>1238</v>
      </c>
      <c r="O214" s="2" t="s">
        <v>33</v>
      </c>
      <c r="P214" s="2" t="s">
        <v>1239</v>
      </c>
      <c r="Q214" s="2" t="s">
        <v>985</v>
      </c>
      <c r="R214" s="2" t="s">
        <v>993</v>
      </c>
      <c r="S214" s="2" t="s">
        <v>1240</v>
      </c>
      <c r="T214" s="2" t="s">
        <v>1241</v>
      </c>
      <c r="U214" s="2" t="s">
        <v>1242</v>
      </c>
      <c r="V214" s="2"/>
    </row>
    <row r="215">
      <c r="A215" s="2">
        <v>214</v>
      </c>
      <c r="B215" s="2" t="s">
        <v>56</v>
      </c>
      <c r="C215" s="2" t="s">
        <v>1243</v>
      </c>
      <c r="D215" s="2" t="s">
        <v>980</v>
      </c>
      <c r="E215" s="2" t="s">
        <v>25</v>
      </c>
      <c r="F215" s="2" t="s">
        <v>72</v>
      </c>
      <c r="G215" s="2" t="s">
        <v>73</v>
      </c>
      <c r="H215" s="2" t="s">
        <v>991</v>
      </c>
      <c r="I215" s="2" t="s">
        <v>982</v>
      </c>
      <c r="J215" s="2" t="s">
        <v>676</v>
      </c>
      <c r="K215" s="2" t="s">
        <v>104</v>
      </c>
      <c r="L215" s="2" t="s">
        <v>33</v>
      </c>
      <c r="M215" s="2" t="s">
        <v>33</v>
      </c>
      <c r="N215" s="2" t="s">
        <v>1069</v>
      </c>
      <c r="O215" s="2" t="s">
        <v>33</v>
      </c>
      <c r="P215" s="2" t="s">
        <v>1244</v>
      </c>
      <c r="Q215" s="2" t="s">
        <v>985</v>
      </c>
      <c r="R215" s="2" t="s">
        <v>993</v>
      </c>
      <c r="S215" s="2" t="s">
        <v>1245</v>
      </c>
      <c r="T215" s="2" t="s">
        <v>1246</v>
      </c>
      <c r="U215" s="2" t="s">
        <v>1247</v>
      </c>
      <c r="V215" s="2"/>
    </row>
    <row r="216">
      <c r="A216" s="2">
        <v>215</v>
      </c>
      <c r="B216" s="2" t="s">
        <v>117</v>
      </c>
      <c r="C216" s="2" t="s">
        <v>1248</v>
      </c>
      <c r="D216" s="2" t="s">
        <v>980</v>
      </c>
      <c r="E216" s="2" t="s">
        <v>25</v>
      </c>
      <c r="F216" s="2" t="s">
        <v>26</v>
      </c>
      <c r="G216" s="2" t="s">
        <v>27</v>
      </c>
      <c r="H216" s="2" t="s">
        <v>981</v>
      </c>
      <c r="I216" s="2" t="s">
        <v>982</v>
      </c>
      <c r="J216" s="2" t="s">
        <v>527</v>
      </c>
      <c r="K216" s="2" t="s">
        <v>104</v>
      </c>
      <c r="L216" s="2" t="s">
        <v>33</v>
      </c>
      <c r="M216" s="2" t="s">
        <v>113</v>
      </c>
      <c r="N216" s="2" t="s">
        <v>1249</v>
      </c>
      <c r="O216" s="2" t="s">
        <v>33</v>
      </c>
      <c r="P216" s="2" t="s">
        <v>1250</v>
      </c>
      <c r="Q216" s="2" t="s">
        <v>985</v>
      </c>
      <c r="R216" s="2" t="s">
        <v>986</v>
      </c>
      <c r="S216" s="2" t="s">
        <v>1251</v>
      </c>
      <c r="T216" s="2" t="s">
        <v>1252</v>
      </c>
      <c r="U216" s="2" t="s">
        <v>1253</v>
      </c>
      <c r="V216" s="2"/>
    </row>
    <row r="217">
      <c r="A217" s="2">
        <v>216</v>
      </c>
      <c r="B217" s="2" t="s">
        <v>476</v>
      </c>
      <c r="C217" s="2" t="s">
        <v>1254</v>
      </c>
      <c r="D217" s="2" t="s">
        <v>980</v>
      </c>
      <c r="E217" s="2" t="s">
        <v>25</v>
      </c>
      <c r="F217" s="2" t="s">
        <v>72</v>
      </c>
      <c r="G217" s="2" t="s">
        <v>73</v>
      </c>
      <c r="H217" s="2" t="s">
        <v>991</v>
      </c>
      <c r="I217" s="2" t="s">
        <v>982</v>
      </c>
      <c r="J217" s="2" t="s">
        <v>676</v>
      </c>
      <c r="K217" s="2" t="s">
        <v>104</v>
      </c>
      <c r="L217" s="2" t="s">
        <v>33</v>
      </c>
      <c r="M217" s="2" t="s">
        <v>33</v>
      </c>
      <c r="N217" s="2" t="s">
        <v>243</v>
      </c>
      <c r="O217" s="2" t="s">
        <v>33</v>
      </c>
      <c r="P217" s="2" t="s">
        <v>76</v>
      </c>
      <c r="Q217" s="2" t="s">
        <v>985</v>
      </c>
      <c r="R217" s="2" t="s">
        <v>993</v>
      </c>
      <c r="S217" s="2" t="s">
        <v>1255</v>
      </c>
      <c r="T217" s="2" t="s">
        <v>1256</v>
      </c>
      <c r="U217" s="2" t="s">
        <v>1257</v>
      </c>
      <c r="V217" s="2" t="s">
        <v>563</v>
      </c>
    </row>
    <row r="218">
      <c r="A218" s="2">
        <v>217</v>
      </c>
      <c r="B218" s="2" t="s">
        <v>117</v>
      </c>
      <c r="C218" s="2" t="s">
        <v>1258</v>
      </c>
      <c r="D218" s="2" t="s">
        <v>980</v>
      </c>
      <c r="E218" s="2" t="s">
        <v>25</v>
      </c>
      <c r="F218" s="2" t="s">
        <v>72</v>
      </c>
      <c r="G218" s="2" t="s">
        <v>73</v>
      </c>
      <c r="H218" s="2" t="s">
        <v>991</v>
      </c>
      <c r="I218" s="2" t="s">
        <v>982</v>
      </c>
      <c r="J218" s="2" t="s">
        <v>676</v>
      </c>
      <c r="K218" s="2" t="s">
        <v>31</v>
      </c>
      <c r="L218" s="2" t="s">
        <v>33</v>
      </c>
      <c r="M218" s="2" t="s">
        <v>33</v>
      </c>
      <c r="N218" s="2" t="s">
        <v>1259</v>
      </c>
      <c r="O218" s="2" t="s">
        <v>33</v>
      </c>
      <c r="P218" s="2" t="s">
        <v>1260</v>
      </c>
      <c r="Q218" s="2" t="s">
        <v>985</v>
      </c>
      <c r="R218" s="2" t="s">
        <v>993</v>
      </c>
      <c r="S218" s="2" t="s">
        <v>1261</v>
      </c>
      <c r="T218" s="2" t="s">
        <v>1262</v>
      </c>
      <c r="U218" s="2" t="s">
        <v>1263</v>
      </c>
      <c r="V218" s="2" t="s">
        <v>191</v>
      </c>
    </row>
    <row r="219">
      <c r="A219" s="2">
        <v>218</v>
      </c>
      <c r="B219" s="2" t="s">
        <v>239</v>
      </c>
      <c r="C219" s="2" t="s">
        <v>1264</v>
      </c>
      <c r="D219" s="2" t="s">
        <v>980</v>
      </c>
      <c r="E219" s="2" t="s">
        <v>25</v>
      </c>
      <c r="F219" s="2" t="s">
        <v>26</v>
      </c>
      <c r="G219" s="2" t="s">
        <v>73</v>
      </c>
      <c r="H219" s="2" t="s">
        <v>981</v>
      </c>
      <c r="I219" s="2" t="s">
        <v>982</v>
      </c>
      <c r="J219" s="2" t="s">
        <v>676</v>
      </c>
      <c r="K219" s="2" t="s">
        <v>104</v>
      </c>
      <c r="L219" s="2" t="s">
        <v>33</v>
      </c>
      <c r="M219" s="2" t="s">
        <v>33</v>
      </c>
      <c r="N219" s="2" t="s">
        <v>243</v>
      </c>
      <c r="O219" s="2" t="s">
        <v>33</v>
      </c>
      <c r="P219" s="2" t="s">
        <v>1265</v>
      </c>
      <c r="Q219" s="2" t="s">
        <v>985</v>
      </c>
      <c r="R219" s="2" t="s">
        <v>986</v>
      </c>
      <c r="S219" s="2" t="s">
        <v>1110</v>
      </c>
      <c r="T219" s="2" t="s">
        <v>1266</v>
      </c>
      <c r="U219" s="2" t="s">
        <v>1267</v>
      </c>
      <c r="V219" s="2" t="s">
        <v>191</v>
      </c>
    </row>
    <row r="220">
      <c r="A220" s="2">
        <v>219</v>
      </c>
      <c r="B220" s="2" t="s">
        <v>56</v>
      </c>
      <c r="C220" s="2" t="s">
        <v>1268</v>
      </c>
      <c r="D220" s="2" t="s">
        <v>980</v>
      </c>
      <c r="E220" s="2" t="s">
        <v>25</v>
      </c>
      <c r="F220" s="2" t="s">
        <v>72</v>
      </c>
      <c r="G220" s="2" t="s">
        <v>73</v>
      </c>
      <c r="H220" s="2" t="s">
        <v>991</v>
      </c>
      <c r="I220" s="2" t="s">
        <v>982</v>
      </c>
      <c r="J220" s="2" t="s">
        <v>676</v>
      </c>
      <c r="K220" s="2" t="s">
        <v>48</v>
      </c>
      <c r="L220" s="2" t="s">
        <v>33</v>
      </c>
      <c r="M220" s="2" t="s">
        <v>998</v>
      </c>
      <c r="N220" s="2" t="s">
        <v>1269</v>
      </c>
      <c r="O220" s="2" t="s">
        <v>33</v>
      </c>
      <c r="P220" s="2" t="s">
        <v>1270</v>
      </c>
      <c r="Q220" s="2" t="s">
        <v>985</v>
      </c>
      <c r="R220" s="2" t="s">
        <v>993</v>
      </c>
      <c r="S220" s="2" t="s">
        <v>1271</v>
      </c>
      <c r="T220" s="2" t="s">
        <v>1272</v>
      </c>
      <c r="U220" s="2" t="s">
        <v>1273</v>
      </c>
      <c r="V220" s="2" t="s">
        <v>81</v>
      </c>
    </row>
    <row r="221">
      <c r="A221" s="2">
        <v>220</v>
      </c>
      <c r="B221" s="2" t="s">
        <v>41</v>
      </c>
      <c r="C221" s="2" t="s">
        <v>1274</v>
      </c>
      <c r="D221" s="2" t="s">
        <v>980</v>
      </c>
      <c r="E221" s="2" t="s">
        <v>25</v>
      </c>
      <c r="F221" s="2" t="s">
        <v>72</v>
      </c>
      <c r="G221" s="2" t="s">
        <v>73</v>
      </c>
      <c r="H221" s="2" t="s">
        <v>991</v>
      </c>
      <c r="I221" s="2" t="s">
        <v>982</v>
      </c>
      <c r="J221" s="2" t="s">
        <v>676</v>
      </c>
      <c r="K221" s="2" t="s">
        <v>104</v>
      </c>
      <c r="L221" s="2" t="s">
        <v>33</v>
      </c>
      <c r="M221" s="2" t="s">
        <v>1011</v>
      </c>
      <c r="N221" s="2" t="s">
        <v>1143</v>
      </c>
      <c r="O221" s="2" t="s">
        <v>33</v>
      </c>
      <c r="P221" s="2" t="s">
        <v>1275</v>
      </c>
      <c r="Q221" s="2" t="s">
        <v>985</v>
      </c>
      <c r="R221" s="2" t="s">
        <v>993</v>
      </c>
      <c r="S221" s="2" t="s">
        <v>1276</v>
      </c>
      <c r="T221" s="2" t="s">
        <v>1277</v>
      </c>
      <c r="U221" s="2" t="s">
        <v>1278</v>
      </c>
      <c r="V221" s="2"/>
    </row>
    <row r="222">
      <c r="A222" s="2">
        <v>221</v>
      </c>
      <c r="B222" s="2" t="s">
        <v>239</v>
      </c>
      <c r="C222" s="2" t="s">
        <v>1279</v>
      </c>
      <c r="D222" s="2" t="s">
        <v>980</v>
      </c>
      <c r="E222" s="2" t="s">
        <v>25</v>
      </c>
      <c r="F222" s="2" t="s">
        <v>72</v>
      </c>
      <c r="G222" s="2" t="s">
        <v>73</v>
      </c>
      <c r="H222" s="2" t="s">
        <v>991</v>
      </c>
      <c r="I222" s="2" t="s">
        <v>982</v>
      </c>
      <c r="J222" s="2" t="s">
        <v>676</v>
      </c>
      <c r="K222" s="2" t="s">
        <v>31</v>
      </c>
      <c r="L222" s="2" t="s">
        <v>33</v>
      </c>
      <c r="M222" s="2" t="s">
        <v>1011</v>
      </c>
      <c r="N222" s="2" t="s">
        <v>1280</v>
      </c>
      <c r="O222" s="2" t="s">
        <v>33</v>
      </c>
      <c r="P222" s="2" t="s">
        <v>1281</v>
      </c>
      <c r="Q222" s="2" t="s">
        <v>985</v>
      </c>
      <c r="R222" s="2" t="s">
        <v>993</v>
      </c>
      <c r="S222" s="2" t="s">
        <v>1059</v>
      </c>
      <c r="T222" s="2" t="s">
        <v>1282</v>
      </c>
      <c r="U222" s="2" t="s">
        <v>1283</v>
      </c>
      <c r="V222" s="2"/>
    </row>
    <row r="223">
      <c r="A223" s="2">
        <v>222</v>
      </c>
      <c r="B223" s="2" t="s">
        <v>131</v>
      </c>
      <c r="C223" s="2" t="s">
        <v>1284</v>
      </c>
      <c r="D223" s="2" t="s">
        <v>980</v>
      </c>
      <c r="E223" s="2" t="s">
        <v>25</v>
      </c>
      <c r="F223" s="2" t="s">
        <v>72</v>
      </c>
      <c r="G223" s="2" t="s">
        <v>73</v>
      </c>
      <c r="H223" s="2" t="s">
        <v>991</v>
      </c>
      <c r="I223" s="2" t="s">
        <v>982</v>
      </c>
      <c r="J223" s="2" t="s">
        <v>676</v>
      </c>
      <c r="K223" s="2" t="s">
        <v>104</v>
      </c>
      <c r="L223" s="2" t="s">
        <v>33</v>
      </c>
      <c r="M223" s="2" t="s">
        <v>33</v>
      </c>
      <c r="N223" s="2" t="s">
        <v>243</v>
      </c>
      <c r="O223" s="2" t="s">
        <v>33</v>
      </c>
      <c r="P223" s="2" t="s">
        <v>1285</v>
      </c>
      <c r="Q223" s="2" t="s">
        <v>985</v>
      </c>
      <c r="R223" s="2" t="s">
        <v>993</v>
      </c>
      <c r="S223" s="2" t="s">
        <v>1245</v>
      </c>
      <c r="T223" s="2" t="s">
        <v>1286</v>
      </c>
      <c r="U223" s="2" t="s">
        <v>1287</v>
      </c>
      <c r="V223" s="2"/>
    </row>
    <row r="224">
      <c r="A224" s="2">
        <v>223</v>
      </c>
      <c r="B224" s="2" t="s">
        <v>41</v>
      </c>
      <c r="C224" s="2" t="s">
        <v>1288</v>
      </c>
      <c r="D224" s="2" t="s">
        <v>980</v>
      </c>
      <c r="E224" s="2" t="s">
        <v>25</v>
      </c>
      <c r="F224" s="2" t="s">
        <v>72</v>
      </c>
      <c r="G224" s="2" t="s">
        <v>73</v>
      </c>
      <c r="H224" s="2" t="s">
        <v>991</v>
      </c>
      <c r="I224" s="2" t="s">
        <v>982</v>
      </c>
      <c r="J224" s="2" t="s">
        <v>676</v>
      </c>
      <c r="K224" s="2" t="s">
        <v>104</v>
      </c>
      <c r="L224" s="2" t="s">
        <v>33</v>
      </c>
      <c r="M224" s="2" t="s">
        <v>33</v>
      </c>
      <c r="N224" s="2" t="s">
        <v>1289</v>
      </c>
      <c r="O224" s="2" t="s">
        <v>33</v>
      </c>
      <c r="P224" s="2" t="s">
        <v>1290</v>
      </c>
      <c r="Q224" s="2" t="s">
        <v>985</v>
      </c>
      <c r="R224" s="2" t="s">
        <v>993</v>
      </c>
      <c r="S224" s="2" t="s">
        <v>1291</v>
      </c>
      <c r="T224" s="2" t="s">
        <v>1292</v>
      </c>
      <c r="U224" s="2" t="s">
        <v>1293</v>
      </c>
      <c r="V224" s="2"/>
    </row>
    <row r="225">
      <c r="A225" s="2">
        <v>224</v>
      </c>
      <c r="B225" s="2" t="s">
        <v>56</v>
      </c>
      <c r="C225" s="2" t="s">
        <v>1294</v>
      </c>
      <c r="D225" s="2" t="s">
        <v>980</v>
      </c>
      <c r="E225" s="2" t="s">
        <v>25</v>
      </c>
      <c r="F225" s="2" t="s">
        <v>72</v>
      </c>
      <c r="G225" s="2" t="s">
        <v>73</v>
      </c>
      <c r="H225" s="2" t="s">
        <v>991</v>
      </c>
      <c r="I225" s="2" t="s">
        <v>982</v>
      </c>
      <c r="J225" s="2" t="s">
        <v>676</v>
      </c>
      <c r="K225" s="2" t="s">
        <v>31</v>
      </c>
      <c r="L225" s="2" t="s">
        <v>33</v>
      </c>
      <c r="M225" s="2" t="s">
        <v>33</v>
      </c>
      <c r="N225" s="2" t="s">
        <v>1295</v>
      </c>
      <c r="O225" s="2" t="s">
        <v>33</v>
      </c>
      <c r="P225" s="2" t="s">
        <v>1296</v>
      </c>
      <c r="Q225" s="2" t="s">
        <v>985</v>
      </c>
      <c r="R225" s="2" t="s">
        <v>993</v>
      </c>
      <c r="S225" s="2" t="s">
        <v>1297</v>
      </c>
      <c r="T225" s="2" t="s">
        <v>1298</v>
      </c>
      <c r="U225" s="2" t="s">
        <v>1299</v>
      </c>
      <c r="V225" s="2" t="s">
        <v>81</v>
      </c>
    </row>
    <row r="226">
      <c r="A226" s="2">
        <v>225</v>
      </c>
      <c r="B226" s="2" t="s">
        <v>117</v>
      </c>
      <c r="C226" s="2" t="s">
        <v>1300</v>
      </c>
      <c r="D226" s="2" t="s">
        <v>980</v>
      </c>
      <c r="E226" s="2" t="s">
        <v>25</v>
      </c>
      <c r="F226" s="2" t="s">
        <v>72</v>
      </c>
      <c r="G226" s="2" t="s">
        <v>73</v>
      </c>
      <c r="H226" s="2" t="s">
        <v>991</v>
      </c>
      <c r="I226" s="2" t="s">
        <v>982</v>
      </c>
      <c r="J226" s="2" t="s">
        <v>676</v>
      </c>
      <c r="K226" s="2" t="s">
        <v>31</v>
      </c>
      <c r="L226" s="2" t="s">
        <v>33</v>
      </c>
      <c r="M226" s="2" t="s">
        <v>1301</v>
      </c>
      <c r="N226" s="2" t="s">
        <v>1093</v>
      </c>
      <c r="O226" s="2" t="s">
        <v>33</v>
      </c>
      <c r="P226" s="2" t="s">
        <v>1302</v>
      </c>
      <c r="Q226" s="2" t="s">
        <v>985</v>
      </c>
      <c r="R226" s="2" t="s">
        <v>993</v>
      </c>
      <c r="S226" s="2" t="s">
        <v>1276</v>
      </c>
      <c r="T226" s="2" t="s">
        <v>1303</v>
      </c>
      <c r="U226" s="2" t="s">
        <v>1304</v>
      </c>
      <c r="V226" s="2"/>
    </row>
    <row r="227">
      <c r="A227" s="2">
        <v>226</v>
      </c>
      <c r="B227" s="2" t="s">
        <v>117</v>
      </c>
      <c r="C227" s="2" t="s">
        <v>1305</v>
      </c>
      <c r="D227" s="2" t="s">
        <v>980</v>
      </c>
      <c r="E227" s="2" t="s">
        <v>25</v>
      </c>
      <c r="F227" s="2" t="s">
        <v>26</v>
      </c>
      <c r="G227" s="2" t="s">
        <v>27</v>
      </c>
      <c r="H227" s="2" t="s">
        <v>981</v>
      </c>
      <c r="I227" s="2" t="s">
        <v>982</v>
      </c>
      <c r="J227" s="2" t="s">
        <v>84</v>
      </c>
      <c r="K227" s="2" t="s">
        <v>31</v>
      </c>
      <c r="L227" s="2" t="s">
        <v>33</v>
      </c>
      <c r="M227" s="2" t="s">
        <v>33</v>
      </c>
      <c r="N227" s="2" t="s">
        <v>1191</v>
      </c>
      <c r="O227" s="2" t="s">
        <v>33</v>
      </c>
      <c r="P227" s="2" t="s">
        <v>1306</v>
      </c>
      <c r="Q227" s="2" t="s">
        <v>985</v>
      </c>
      <c r="R227" s="2" t="s">
        <v>986</v>
      </c>
      <c r="S227" s="2" t="s">
        <v>1276</v>
      </c>
      <c r="T227" s="2" t="s">
        <v>1307</v>
      </c>
      <c r="U227" s="2" t="s">
        <v>1308</v>
      </c>
      <c r="V227" s="2"/>
    </row>
    <row r="228">
      <c r="A228" s="2">
        <v>227</v>
      </c>
      <c r="B228" s="2" t="s">
        <v>117</v>
      </c>
      <c r="C228" s="2" t="s">
        <v>1309</v>
      </c>
      <c r="D228" s="2" t="s">
        <v>980</v>
      </c>
      <c r="E228" s="2" t="s">
        <v>25</v>
      </c>
      <c r="F228" s="2" t="s">
        <v>26</v>
      </c>
      <c r="G228" s="2" t="s">
        <v>73</v>
      </c>
      <c r="H228" s="2" t="s">
        <v>981</v>
      </c>
      <c r="I228" s="2" t="s">
        <v>982</v>
      </c>
      <c r="J228" s="2" t="s">
        <v>676</v>
      </c>
      <c r="K228" s="2" t="s">
        <v>48</v>
      </c>
      <c r="L228" s="2" t="s">
        <v>33</v>
      </c>
      <c r="M228" s="2" t="s">
        <v>488</v>
      </c>
      <c r="N228" s="2" t="s">
        <v>1310</v>
      </c>
      <c r="O228" s="2" t="s">
        <v>33</v>
      </c>
      <c r="P228" s="2" t="s">
        <v>1311</v>
      </c>
      <c r="Q228" s="2" t="s">
        <v>985</v>
      </c>
      <c r="R228" s="2" t="s">
        <v>986</v>
      </c>
      <c r="S228" s="2" t="s">
        <v>1312</v>
      </c>
      <c r="T228" s="2" t="s">
        <v>1313</v>
      </c>
      <c r="U228" s="2" t="s">
        <v>1314</v>
      </c>
      <c r="V228" s="2" t="s">
        <v>81</v>
      </c>
    </row>
    <row r="229">
      <c r="A229" s="2">
        <v>228</v>
      </c>
      <c r="B229" s="2" t="s">
        <v>41</v>
      </c>
      <c r="C229" s="2" t="s">
        <v>1315</v>
      </c>
      <c r="D229" s="2" t="s">
        <v>980</v>
      </c>
      <c r="E229" s="2" t="s">
        <v>25</v>
      </c>
      <c r="F229" s="2" t="s">
        <v>72</v>
      </c>
      <c r="G229" s="2" t="s">
        <v>73</v>
      </c>
      <c r="H229" s="2" t="s">
        <v>991</v>
      </c>
      <c r="I229" s="2" t="s">
        <v>982</v>
      </c>
      <c r="J229" s="2" t="s">
        <v>676</v>
      </c>
      <c r="K229" s="2" t="s">
        <v>104</v>
      </c>
      <c r="L229" s="2" t="s">
        <v>33</v>
      </c>
      <c r="M229" s="2" t="s">
        <v>33</v>
      </c>
      <c r="N229" s="2" t="s">
        <v>1316</v>
      </c>
      <c r="O229" s="2" t="s">
        <v>33</v>
      </c>
      <c r="P229" s="2" t="s">
        <v>1317</v>
      </c>
      <c r="Q229" s="2" t="s">
        <v>985</v>
      </c>
      <c r="R229" s="2" t="s">
        <v>993</v>
      </c>
      <c r="S229" s="2" t="s">
        <v>1318</v>
      </c>
      <c r="T229" s="2" t="s">
        <v>1319</v>
      </c>
      <c r="U229" s="2" t="s">
        <v>1320</v>
      </c>
      <c r="V229" s="2"/>
    </row>
    <row r="230">
      <c r="A230" s="2">
        <v>229</v>
      </c>
      <c r="B230" s="2" t="s">
        <v>41</v>
      </c>
      <c r="C230" s="2" t="s">
        <v>1321</v>
      </c>
      <c r="D230" s="2" t="s">
        <v>980</v>
      </c>
      <c r="E230" s="2" t="s">
        <v>25</v>
      </c>
      <c r="F230" s="2" t="s">
        <v>72</v>
      </c>
      <c r="G230" s="2" t="s">
        <v>73</v>
      </c>
      <c r="H230" s="2" t="s">
        <v>991</v>
      </c>
      <c r="I230" s="2" t="s">
        <v>982</v>
      </c>
      <c r="J230" s="2" t="s">
        <v>676</v>
      </c>
      <c r="K230" s="2" t="s">
        <v>161</v>
      </c>
      <c r="L230" s="2" t="s">
        <v>33</v>
      </c>
      <c r="M230" s="2" t="s">
        <v>998</v>
      </c>
      <c r="N230" s="2" t="s">
        <v>1093</v>
      </c>
      <c r="O230" s="2" t="s">
        <v>33</v>
      </c>
      <c r="P230" s="2" t="s">
        <v>76</v>
      </c>
      <c r="Q230" s="2" t="s">
        <v>985</v>
      </c>
      <c r="R230" s="2" t="s">
        <v>993</v>
      </c>
      <c r="S230" s="2" t="s">
        <v>1322</v>
      </c>
      <c r="T230" s="2" t="s">
        <v>1323</v>
      </c>
      <c r="U230" s="2" t="s">
        <v>1324</v>
      </c>
      <c r="V230" s="2" t="s">
        <v>145</v>
      </c>
    </row>
    <row r="231">
      <c r="A231" s="2">
        <v>230</v>
      </c>
      <c r="B231" s="2" t="s">
        <v>56</v>
      </c>
      <c r="C231" s="2" t="s">
        <v>1325</v>
      </c>
      <c r="D231" s="2" t="s">
        <v>980</v>
      </c>
      <c r="E231" s="2" t="s">
        <v>25</v>
      </c>
      <c r="F231" s="2" t="s">
        <v>72</v>
      </c>
      <c r="G231" s="2" t="s">
        <v>73</v>
      </c>
      <c r="H231" s="2" t="s">
        <v>991</v>
      </c>
      <c r="I231" s="2" t="s">
        <v>982</v>
      </c>
      <c r="J231" s="2" t="s">
        <v>580</v>
      </c>
      <c r="K231" s="2" t="s">
        <v>104</v>
      </c>
      <c r="L231" s="2" t="s">
        <v>33</v>
      </c>
      <c r="M231" s="2" t="s">
        <v>459</v>
      </c>
      <c r="N231" s="2" t="s">
        <v>1012</v>
      </c>
      <c r="O231" s="2" t="s">
        <v>33</v>
      </c>
      <c r="P231" s="2" t="s">
        <v>1326</v>
      </c>
      <c r="Q231" s="2" t="s">
        <v>985</v>
      </c>
      <c r="R231" s="2" t="s">
        <v>993</v>
      </c>
      <c r="S231" s="2" t="s">
        <v>281</v>
      </c>
      <c r="T231" s="2" t="s">
        <v>1327</v>
      </c>
      <c r="U231" s="2" t="s">
        <v>1328</v>
      </c>
      <c r="V231" s="2"/>
    </row>
    <row r="232">
      <c r="A232" s="2">
        <v>231</v>
      </c>
      <c r="B232" s="2" t="s">
        <v>239</v>
      </c>
      <c r="C232" s="2" t="s">
        <v>1329</v>
      </c>
      <c r="D232" s="2" t="s">
        <v>980</v>
      </c>
      <c r="E232" s="2" t="s">
        <v>25</v>
      </c>
      <c r="F232" s="2" t="s">
        <v>72</v>
      </c>
      <c r="G232" s="2" t="s">
        <v>73</v>
      </c>
      <c r="H232" s="2" t="s">
        <v>991</v>
      </c>
      <c r="I232" s="2" t="s">
        <v>982</v>
      </c>
      <c r="J232" s="2" t="s">
        <v>676</v>
      </c>
      <c r="K232" s="2" t="s">
        <v>104</v>
      </c>
      <c r="L232" s="2" t="s">
        <v>33</v>
      </c>
      <c r="M232" s="2" t="s">
        <v>998</v>
      </c>
      <c r="N232" s="2" t="s">
        <v>1191</v>
      </c>
      <c r="O232" s="2" t="s">
        <v>33</v>
      </c>
      <c r="P232" s="2" t="s">
        <v>76</v>
      </c>
      <c r="Q232" s="2" t="s">
        <v>985</v>
      </c>
      <c r="R232" s="2" t="s">
        <v>993</v>
      </c>
      <c r="S232" s="2" t="s">
        <v>1330</v>
      </c>
      <c r="T232" s="2" t="s">
        <v>1331</v>
      </c>
      <c r="U232" s="2" t="s">
        <v>1332</v>
      </c>
      <c r="V232" s="2"/>
    </row>
    <row r="233">
      <c r="A233" s="2">
        <v>232</v>
      </c>
      <c r="B233" s="2" t="s">
        <v>41</v>
      </c>
      <c r="C233" s="2" t="s">
        <v>1333</v>
      </c>
      <c r="D233" s="2" t="s">
        <v>980</v>
      </c>
      <c r="E233" s="2" t="s">
        <v>25</v>
      </c>
      <c r="F233" s="2" t="s">
        <v>72</v>
      </c>
      <c r="G233" s="2" t="s">
        <v>73</v>
      </c>
      <c r="H233" s="2" t="s">
        <v>991</v>
      </c>
      <c r="I233" s="2" t="s">
        <v>982</v>
      </c>
      <c r="J233" s="2" t="s">
        <v>676</v>
      </c>
      <c r="K233" s="2" t="s">
        <v>104</v>
      </c>
      <c r="L233" s="2" t="s">
        <v>33</v>
      </c>
      <c r="M233" s="2" t="s">
        <v>33</v>
      </c>
      <c r="N233" s="2" t="s">
        <v>1093</v>
      </c>
      <c r="O233" s="2" t="s">
        <v>33</v>
      </c>
      <c r="P233" s="2" t="s">
        <v>1334</v>
      </c>
      <c r="Q233" s="2" t="s">
        <v>985</v>
      </c>
      <c r="R233" s="2" t="s">
        <v>993</v>
      </c>
      <c r="S233" s="2" t="s">
        <v>1335</v>
      </c>
      <c r="T233" s="2" t="s">
        <v>1336</v>
      </c>
      <c r="U233" s="2" t="s">
        <v>1337</v>
      </c>
      <c r="V233" s="2"/>
    </row>
    <row r="234">
      <c r="A234" s="2">
        <v>233</v>
      </c>
      <c r="B234" s="2" t="s">
        <v>117</v>
      </c>
      <c r="C234" s="2" t="s">
        <v>1338</v>
      </c>
      <c r="D234" s="2" t="s">
        <v>980</v>
      </c>
      <c r="E234" s="2" t="s">
        <v>25</v>
      </c>
      <c r="F234" s="2" t="s">
        <v>72</v>
      </c>
      <c r="G234" s="2" t="s">
        <v>73</v>
      </c>
      <c r="H234" s="2" t="s">
        <v>302</v>
      </c>
      <c r="I234" s="2" t="s">
        <v>176</v>
      </c>
      <c r="J234" s="2" t="s">
        <v>629</v>
      </c>
      <c r="K234" s="2" t="s">
        <v>48</v>
      </c>
      <c r="L234" s="2" t="s">
        <v>33</v>
      </c>
      <c r="M234" s="2" t="s">
        <v>1339</v>
      </c>
      <c r="N234" s="2" t="s">
        <v>86</v>
      </c>
      <c r="O234" s="2" t="s">
        <v>33</v>
      </c>
      <c r="P234" s="2" t="s">
        <v>1340</v>
      </c>
      <c r="Q234" s="2" t="s">
        <v>181</v>
      </c>
      <c r="R234" s="2" t="s">
        <v>305</v>
      </c>
      <c r="S234" s="2" t="s">
        <v>1341</v>
      </c>
      <c r="T234" s="2"/>
      <c r="U234" s="2" t="s">
        <v>1342</v>
      </c>
      <c r="V234" s="2"/>
    </row>
    <row r="235">
      <c r="A235" s="2">
        <v>234</v>
      </c>
      <c r="B235" s="2" t="s">
        <v>41</v>
      </c>
      <c r="C235" s="2" t="s">
        <v>1343</v>
      </c>
      <c r="D235" s="2" t="s">
        <v>980</v>
      </c>
      <c r="E235" s="2" t="s">
        <v>25</v>
      </c>
      <c r="F235" s="2" t="s">
        <v>26</v>
      </c>
      <c r="G235" s="2" t="s">
        <v>73</v>
      </c>
      <c r="H235" s="2" t="s">
        <v>981</v>
      </c>
      <c r="I235" s="2" t="s">
        <v>982</v>
      </c>
      <c r="J235" s="2" t="s">
        <v>1075</v>
      </c>
      <c r="K235" s="2" t="s">
        <v>48</v>
      </c>
      <c r="L235" s="2" t="s">
        <v>1040</v>
      </c>
      <c r="M235" s="2" t="s">
        <v>33</v>
      </c>
      <c r="N235" s="2" t="s">
        <v>1344</v>
      </c>
      <c r="O235" s="2" t="s">
        <v>33</v>
      </c>
      <c r="P235" s="2" t="s">
        <v>76</v>
      </c>
      <c r="Q235" s="2" t="s">
        <v>985</v>
      </c>
      <c r="R235" s="2" t="s">
        <v>986</v>
      </c>
      <c r="S235" s="2" t="s">
        <v>1110</v>
      </c>
      <c r="T235" s="2" t="s">
        <v>1345</v>
      </c>
      <c r="U235" s="2" t="s">
        <v>1346</v>
      </c>
      <c r="V235" s="2" t="s">
        <v>197</v>
      </c>
    </row>
    <row r="236">
      <c r="A236" s="2">
        <v>235</v>
      </c>
      <c r="B236" s="2" t="s">
        <v>41</v>
      </c>
      <c r="C236" s="2" t="s">
        <v>1347</v>
      </c>
      <c r="D236" s="2" t="s">
        <v>980</v>
      </c>
      <c r="E236" s="2" t="s">
        <v>25</v>
      </c>
      <c r="F236" s="2" t="s">
        <v>72</v>
      </c>
      <c r="G236" s="2" t="s">
        <v>73</v>
      </c>
      <c r="H236" s="2" t="s">
        <v>991</v>
      </c>
      <c r="I236" s="2" t="s">
        <v>982</v>
      </c>
      <c r="J236" s="2" t="s">
        <v>676</v>
      </c>
      <c r="K236" s="2" t="s">
        <v>104</v>
      </c>
      <c r="L236" s="2" t="s">
        <v>33</v>
      </c>
      <c r="M236" s="2" t="s">
        <v>998</v>
      </c>
      <c r="N236" s="2" t="s">
        <v>1348</v>
      </c>
      <c r="O236" s="2" t="s">
        <v>33</v>
      </c>
      <c r="P236" s="2" t="s">
        <v>1349</v>
      </c>
      <c r="Q236" s="2" t="s">
        <v>985</v>
      </c>
      <c r="R236" s="2" t="s">
        <v>993</v>
      </c>
      <c r="S236" s="2" t="s">
        <v>1059</v>
      </c>
      <c r="T236" s="2" t="s">
        <v>1350</v>
      </c>
      <c r="U236" s="2" t="s">
        <v>1351</v>
      </c>
      <c r="V236" s="2"/>
    </row>
    <row r="237">
      <c r="A237" s="2">
        <v>236</v>
      </c>
      <c r="B237" s="2" t="s">
        <v>117</v>
      </c>
      <c r="C237" s="2" t="s">
        <v>1352</v>
      </c>
      <c r="D237" s="2" t="s">
        <v>980</v>
      </c>
      <c r="E237" s="2" t="s">
        <v>25</v>
      </c>
      <c r="F237" s="2" t="s">
        <v>72</v>
      </c>
      <c r="G237" s="2" t="s">
        <v>73</v>
      </c>
      <c r="H237" s="2" t="s">
        <v>991</v>
      </c>
      <c r="I237" s="2" t="s">
        <v>982</v>
      </c>
      <c r="J237" s="2" t="s">
        <v>676</v>
      </c>
      <c r="K237" s="2" t="s">
        <v>62</v>
      </c>
      <c r="L237" s="2" t="s">
        <v>33</v>
      </c>
      <c r="M237" s="2" t="s">
        <v>33</v>
      </c>
      <c r="N237" s="2" t="s">
        <v>1353</v>
      </c>
      <c r="O237" s="2" t="s">
        <v>33</v>
      </c>
      <c r="P237" s="2" t="s">
        <v>1354</v>
      </c>
      <c r="Q237" s="2" t="s">
        <v>985</v>
      </c>
      <c r="R237" s="2" t="s">
        <v>993</v>
      </c>
      <c r="S237" s="2" t="s">
        <v>1355</v>
      </c>
      <c r="T237" s="2" t="s">
        <v>1356</v>
      </c>
      <c r="U237" s="2" t="s">
        <v>1357</v>
      </c>
      <c r="V237" s="2"/>
    </row>
    <row r="238">
      <c r="A238" s="2">
        <v>237</v>
      </c>
      <c r="B238" s="2" t="s">
        <v>41</v>
      </c>
      <c r="C238" s="2" t="s">
        <v>1358</v>
      </c>
      <c r="D238" s="2" t="s">
        <v>980</v>
      </c>
      <c r="E238" s="2" t="s">
        <v>25</v>
      </c>
      <c r="F238" s="2" t="s">
        <v>72</v>
      </c>
      <c r="G238" s="2" t="s">
        <v>73</v>
      </c>
      <c r="H238" s="2" t="s">
        <v>991</v>
      </c>
      <c r="I238" s="2" t="s">
        <v>982</v>
      </c>
      <c r="J238" s="2" t="s">
        <v>676</v>
      </c>
      <c r="K238" s="2" t="s">
        <v>104</v>
      </c>
      <c r="L238" s="2" t="s">
        <v>33</v>
      </c>
      <c r="M238" s="2" t="s">
        <v>33</v>
      </c>
      <c r="N238" s="2" t="s">
        <v>1359</v>
      </c>
      <c r="O238" s="2" t="s">
        <v>33</v>
      </c>
      <c r="P238" s="2" t="s">
        <v>1360</v>
      </c>
      <c r="Q238" s="2" t="s">
        <v>985</v>
      </c>
      <c r="R238" s="2" t="s">
        <v>993</v>
      </c>
      <c r="S238" s="2" t="s">
        <v>1361</v>
      </c>
      <c r="T238" s="2" t="s">
        <v>1362</v>
      </c>
      <c r="U238" s="2" t="s">
        <v>1363</v>
      </c>
      <c r="V238" s="2"/>
    </row>
    <row r="239">
      <c r="A239" s="2">
        <v>238</v>
      </c>
      <c r="B239" s="2" t="s">
        <v>41</v>
      </c>
      <c r="C239" s="2" t="s">
        <v>1364</v>
      </c>
      <c r="D239" s="2" t="s">
        <v>980</v>
      </c>
      <c r="E239" s="2" t="s">
        <v>25</v>
      </c>
      <c r="F239" s="2" t="s">
        <v>72</v>
      </c>
      <c r="G239" s="2" t="s">
        <v>73</v>
      </c>
      <c r="H239" s="2" t="s">
        <v>991</v>
      </c>
      <c r="I239" s="2" t="s">
        <v>982</v>
      </c>
      <c r="J239" s="2" t="s">
        <v>676</v>
      </c>
      <c r="K239" s="2" t="s">
        <v>62</v>
      </c>
      <c r="L239" s="2" t="s">
        <v>33</v>
      </c>
      <c r="M239" s="2" t="s">
        <v>33</v>
      </c>
      <c r="N239" s="2" t="s">
        <v>1365</v>
      </c>
      <c r="O239" s="2" t="s">
        <v>33</v>
      </c>
      <c r="P239" s="2" t="s">
        <v>1366</v>
      </c>
      <c r="Q239" s="2" t="s">
        <v>985</v>
      </c>
      <c r="R239" s="2" t="s">
        <v>993</v>
      </c>
      <c r="S239" s="2" t="s">
        <v>1367</v>
      </c>
      <c r="T239" s="2" t="s">
        <v>1368</v>
      </c>
      <c r="U239" s="2" t="s">
        <v>1369</v>
      </c>
      <c r="V239" s="2"/>
    </row>
    <row r="240">
      <c r="A240" s="2">
        <v>239</v>
      </c>
      <c r="B240" s="2" t="s">
        <v>117</v>
      </c>
      <c r="C240" s="2" t="s">
        <v>1370</v>
      </c>
      <c r="D240" s="2" t="s">
        <v>980</v>
      </c>
      <c r="E240" s="2" t="s">
        <v>25</v>
      </c>
      <c r="F240" s="2" t="s">
        <v>72</v>
      </c>
      <c r="G240" s="2" t="s">
        <v>73</v>
      </c>
      <c r="H240" s="2" t="s">
        <v>991</v>
      </c>
      <c r="I240" s="2" t="s">
        <v>982</v>
      </c>
      <c r="J240" s="2" t="s">
        <v>676</v>
      </c>
      <c r="K240" s="2" t="s">
        <v>104</v>
      </c>
      <c r="L240" s="2" t="s">
        <v>33</v>
      </c>
      <c r="M240" s="2" t="s">
        <v>33</v>
      </c>
      <c r="N240" s="2" t="s">
        <v>1371</v>
      </c>
      <c r="O240" s="2" t="s">
        <v>33</v>
      </c>
      <c r="P240" s="2" t="s">
        <v>76</v>
      </c>
      <c r="Q240" s="2" t="s">
        <v>985</v>
      </c>
      <c r="R240" s="2" t="s">
        <v>993</v>
      </c>
      <c r="S240" s="2" t="s">
        <v>1372</v>
      </c>
      <c r="T240" s="2" t="s">
        <v>1373</v>
      </c>
      <c r="U240" s="2" t="s">
        <v>1374</v>
      </c>
      <c r="V240" s="2"/>
    </row>
    <row r="241">
      <c r="A241" s="2">
        <v>240</v>
      </c>
      <c r="B241" s="2" t="s">
        <v>56</v>
      </c>
      <c r="C241" s="2" t="s">
        <v>1375</v>
      </c>
      <c r="D241" s="2" t="s">
        <v>980</v>
      </c>
      <c r="E241" s="2" t="s">
        <v>25</v>
      </c>
      <c r="F241" s="2" t="s">
        <v>72</v>
      </c>
      <c r="G241" s="2" t="s">
        <v>73</v>
      </c>
      <c r="H241" s="2" t="s">
        <v>991</v>
      </c>
      <c r="I241" s="2" t="s">
        <v>982</v>
      </c>
      <c r="J241" s="2" t="s">
        <v>676</v>
      </c>
      <c r="K241" s="2" t="s">
        <v>104</v>
      </c>
      <c r="L241" s="2" t="s">
        <v>33</v>
      </c>
      <c r="M241" s="2" t="s">
        <v>33</v>
      </c>
      <c r="N241" s="2" t="s">
        <v>1376</v>
      </c>
      <c r="O241" s="2" t="s">
        <v>33</v>
      </c>
      <c r="P241" s="2" t="s">
        <v>76</v>
      </c>
      <c r="Q241" s="2" t="s">
        <v>985</v>
      </c>
      <c r="R241" s="2" t="s">
        <v>993</v>
      </c>
      <c r="S241" s="2" t="s">
        <v>1377</v>
      </c>
      <c r="T241" s="2" t="s">
        <v>1378</v>
      </c>
      <c r="U241" s="2" t="s">
        <v>1379</v>
      </c>
      <c r="V241" s="2" t="s">
        <v>81</v>
      </c>
    </row>
    <row r="242">
      <c r="A242" s="2">
        <v>241</v>
      </c>
      <c r="B242" s="2" t="s">
        <v>192</v>
      </c>
      <c r="C242" s="2" t="s">
        <v>1380</v>
      </c>
      <c r="D242" s="2" t="s">
        <v>980</v>
      </c>
      <c r="E242" s="2" t="s">
        <v>25</v>
      </c>
      <c r="F242" s="2" t="s">
        <v>72</v>
      </c>
      <c r="G242" s="2" t="s">
        <v>73</v>
      </c>
      <c r="H242" s="2" t="s">
        <v>991</v>
      </c>
      <c r="I242" s="2" t="s">
        <v>982</v>
      </c>
      <c r="J242" s="2" t="s">
        <v>676</v>
      </c>
      <c r="K242" s="2" t="s">
        <v>161</v>
      </c>
      <c r="L242" s="2" t="s">
        <v>33</v>
      </c>
      <c r="M242" s="2" t="s">
        <v>998</v>
      </c>
      <c r="N242" s="2" t="s">
        <v>999</v>
      </c>
      <c r="O242" s="2" t="s">
        <v>33</v>
      </c>
      <c r="P242" s="2" t="s">
        <v>76</v>
      </c>
      <c r="Q242" s="2" t="s">
        <v>985</v>
      </c>
      <c r="R242" s="2" t="s">
        <v>993</v>
      </c>
      <c r="S242" s="2" t="s">
        <v>1381</v>
      </c>
      <c r="T242" s="2" t="s">
        <v>1382</v>
      </c>
      <c r="U242" s="2" t="s">
        <v>1383</v>
      </c>
      <c r="V242" s="2" t="s">
        <v>563</v>
      </c>
    </row>
    <row r="243">
      <c r="A243" s="2">
        <v>242</v>
      </c>
      <c r="B243" s="2" t="s">
        <v>41</v>
      </c>
      <c r="C243" s="2" t="s">
        <v>1384</v>
      </c>
      <c r="D243" s="2" t="s">
        <v>980</v>
      </c>
      <c r="E243" s="2" t="s">
        <v>25</v>
      </c>
      <c r="F243" s="2" t="s">
        <v>72</v>
      </c>
      <c r="G243" s="2" t="s">
        <v>73</v>
      </c>
      <c r="H243" s="2" t="s">
        <v>991</v>
      </c>
      <c r="I243" s="2" t="s">
        <v>982</v>
      </c>
      <c r="J243" s="2" t="s">
        <v>676</v>
      </c>
      <c r="K243" s="2" t="s">
        <v>31</v>
      </c>
      <c r="L243" s="2" t="s">
        <v>33</v>
      </c>
      <c r="M243" s="2" t="s">
        <v>33</v>
      </c>
      <c r="N243" s="2" t="s">
        <v>1385</v>
      </c>
      <c r="O243" s="2" t="s">
        <v>1386</v>
      </c>
      <c r="P243" s="2" t="s">
        <v>1387</v>
      </c>
      <c r="Q243" s="2" t="s">
        <v>985</v>
      </c>
      <c r="R243" s="2" t="s">
        <v>993</v>
      </c>
      <c r="S243" s="2" t="s">
        <v>1388</v>
      </c>
      <c r="T243" s="2" t="s">
        <v>1389</v>
      </c>
      <c r="U243" s="2" t="s">
        <v>1390</v>
      </c>
      <c r="V243" s="2"/>
    </row>
    <row r="244">
      <c r="A244" s="2">
        <v>243</v>
      </c>
      <c r="B244" s="2" t="s">
        <v>239</v>
      </c>
      <c r="C244" s="2" t="s">
        <v>1391</v>
      </c>
      <c r="D244" s="2" t="s">
        <v>980</v>
      </c>
      <c r="E244" s="2" t="s">
        <v>25</v>
      </c>
      <c r="F244" s="2" t="s">
        <v>72</v>
      </c>
      <c r="G244" s="2" t="s">
        <v>73</v>
      </c>
      <c r="H244" s="2" t="s">
        <v>991</v>
      </c>
      <c r="I244" s="2" t="s">
        <v>982</v>
      </c>
      <c r="J244" s="2" t="s">
        <v>676</v>
      </c>
      <c r="K244" s="2" t="s">
        <v>104</v>
      </c>
      <c r="L244" s="2" t="s">
        <v>33</v>
      </c>
      <c r="M244" s="2" t="s">
        <v>1011</v>
      </c>
      <c r="N244" s="2" t="s">
        <v>1392</v>
      </c>
      <c r="O244" s="2" t="s">
        <v>33</v>
      </c>
      <c r="P244" s="2" t="s">
        <v>1393</v>
      </c>
      <c r="Q244" s="2" t="s">
        <v>985</v>
      </c>
      <c r="R244" s="2" t="s">
        <v>993</v>
      </c>
      <c r="S244" s="2" t="s">
        <v>1394</v>
      </c>
      <c r="T244" s="2" t="s">
        <v>1395</v>
      </c>
      <c r="U244" s="2" t="s">
        <v>1396</v>
      </c>
      <c r="V244" s="2"/>
    </row>
    <row r="245">
      <c r="A245" s="2">
        <v>244</v>
      </c>
      <c r="B245" s="2" t="s">
        <v>82</v>
      </c>
      <c r="C245" s="2" t="s">
        <v>1397</v>
      </c>
      <c r="D245" s="2" t="s">
        <v>980</v>
      </c>
      <c r="E245" s="2" t="s">
        <v>25</v>
      </c>
      <c r="F245" s="2" t="s">
        <v>26</v>
      </c>
      <c r="G245" s="2" t="s">
        <v>27</v>
      </c>
      <c r="H245" s="2" t="s">
        <v>981</v>
      </c>
      <c r="I245" s="2" t="s">
        <v>982</v>
      </c>
      <c r="J245" s="2" t="s">
        <v>1398</v>
      </c>
      <c r="K245" s="2" t="s">
        <v>31</v>
      </c>
      <c r="L245" s="2" t="s">
        <v>1399</v>
      </c>
      <c r="M245" s="2" t="s">
        <v>33</v>
      </c>
      <c r="N245" s="2" t="s">
        <v>1400</v>
      </c>
      <c r="O245" s="2" t="s">
        <v>218</v>
      </c>
      <c r="P245" s="2" t="s">
        <v>1401</v>
      </c>
      <c r="Q245" s="2" t="s">
        <v>985</v>
      </c>
      <c r="R245" s="2" t="s">
        <v>986</v>
      </c>
      <c r="S245" s="2" t="s">
        <v>1402</v>
      </c>
      <c r="T245" s="2" t="s">
        <v>1403</v>
      </c>
      <c r="U245" s="2" t="s">
        <v>1404</v>
      </c>
      <c r="V245" s="2"/>
    </row>
    <row r="246">
      <c r="A246" s="2">
        <v>245</v>
      </c>
      <c r="B246" s="2" t="s">
        <v>82</v>
      </c>
      <c r="C246" s="2" t="s">
        <v>1405</v>
      </c>
      <c r="D246" s="2" t="s">
        <v>980</v>
      </c>
      <c r="E246" s="2" t="s">
        <v>25</v>
      </c>
      <c r="F246" s="2" t="s">
        <v>72</v>
      </c>
      <c r="G246" s="2" t="s">
        <v>73</v>
      </c>
      <c r="H246" s="2" t="s">
        <v>991</v>
      </c>
      <c r="I246" s="2" t="s">
        <v>982</v>
      </c>
      <c r="J246" s="2" t="s">
        <v>676</v>
      </c>
      <c r="K246" s="2" t="s">
        <v>104</v>
      </c>
      <c r="L246" s="2" t="s">
        <v>33</v>
      </c>
      <c r="M246" s="2" t="s">
        <v>33</v>
      </c>
      <c r="N246" s="2" t="s">
        <v>1406</v>
      </c>
      <c r="O246" s="2" t="s">
        <v>33</v>
      </c>
      <c r="P246" s="2" t="s">
        <v>1407</v>
      </c>
      <c r="Q246" s="2" t="s">
        <v>985</v>
      </c>
      <c r="R246" s="2" t="s">
        <v>993</v>
      </c>
      <c r="S246" s="2" t="s">
        <v>1408</v>
      </c>
      <c r="T246" s="2" t="s">
        <v>1409</v>
      </c>
      <c r="U246" s="2" t="s">
        <v>1410</v>
      </c>
      <c r="V246" s="2"/>
    </row>
    <row r="247">
      <c r="A247" s="2">
        <v>246</v>
      </c>
      <c r="B247" s="2" t="s">
        <v>110</v>
      </c>
      <c r="C247" s="2" t="s">
        <v>1411</v>
      </c>
      <c r="D247" s="2" t="s">
        <v>980</v>
      </c>
      <c r="E247" s="2" t="s">
        <v>25</v>
      </c>
      <c r="F247" s="2" t="s">
        <v>26</v>
      </c>
      <c r="G247" s="2" t="s">
        <v>27</v>
      </c>
      <c r="H247" s="2" t="s">
        <v>981</v>
      </c>
      <c r="I247" s="2" t="s">
        <v>982</v>
      </c>
      <c r="J247" s="2" t="s">
        <v>112</v>
      </c>
      <c r="K247" s="2" t="s">
        <v>31</v>
      </c>
      <c r="L247" s="2" t="s">
        <v>33</v>
      </c>
      <c r="M247" s="2" t="s">
        <v>33</v>
      </c>
      <c r="N247" s="2" t="s">
        <v>1412</v>
      </c>
      <c r="O247" s="2" t="s">
        <v>33</v>
      </c>
      <c r="P247" s="2" t="s">
        <v>1413</v>
      </c>
      <c r="Q247" s="2" t="s">
        <v>985</v>
      </c>
      <c r="R247" s="2" t="s">
        <v>986</v>
      </c>
      <c r="S247" s="2" t="s">
        <v>1414</v>
      </c>
      <c r="T247" s="2" t="s">
        <v>1415</v>
      </c>
      <c r="U247" s="2" t="s">
        <v>1416</v>
      </c>
      <c r="V247" s="2" t="s">
        <v>81</v>
      </c>
    </row>
    <row r="248">
      <c r="A248" s="2">
        <v>247</v>
      </c>
      <c r="B248" s="2" t="s">
        <v>117</v>
      </c>
      <c r="C248" s="2" t="s">
        <v>1417</v>
      </c>
      <c r="D248" s="2" t="s">
        <v>980</v>
      </c>
      <c r="E248" s="2" t="s">
        <v>25</v>
      </c>
      <c r="F248" s="2" t="s">
        <v>26</v>
      </c>
      <c r="G248" s="2" t="s">
        <v>27</v>
      </c>
      <c r="H248" s="2" t="s">
        <v>981</v>
      </c>
      <c r="I248" s="2" t="s">
        <v>982</v>
      </c>
      <c r="J248" s="2" t="s">
        <v>580</v>
      </c>
      <c r="K248" s="2" t="s">
        <v>104</v>
      </c>
      <c r="L248" s="2" t="s">
        <v>33</v>
      </c>
      <c r="M248" s="2" t="s">
        <v>33</v>
      </c>
      <c r="N248" s="2" t="s">
        <v>1418</v>
      </c>
      <c r="O248" s="2" t="s">
        <v>33</v>
      </c>
      <c r="P248" s="2" t="s">
        <v>76</v>
      </c>
      <c r="Q248" s="2" t="s">
        <v>985</v>
      </c>
      <c r="R248" s="2" t="s">
        <v>986</v>
      </c>
      <c r="S248" s="2" t="s">
        <v>1271</v>
      </c>
      <c r="T248" s="2" t="s">
        <v>1419</v>
      </c>
      <c r="U248" s="2" t="s">
        <v>1420</v>
      </c>
      <c r="V248" s="2" t="s">
        <v>81</v>
      </c>
    </row>
    <row r="249">
      <c r="A249" s="2">
        <v>248</v>
      </c>
      <c r="B249" s="2" t="s">
        <v>117</v>
      </c>
      <c r="C249" s="2" t="s">
        <v>1421</v>
      </c>
      <c r="D249" s="2" t="s">
        <v>980</v>
      </c>
      <c r="E249" s="2" t="s">
        <v>25</v>
      </c>
      <c r="F249" s="2" t="s">
        <v>26</v>
      </c>
      <c r="G249" s="2" t="s">
        <v>27</v>
      </c>
      <c r="H249" s="2" t="s">
        <v>981</v>
      </c>
      <c r="I249" s="2" t="s">
        <v>982</v>
      </c>
      <c r="J249" s="2" t="s">
        <v>1398</v>
      </c>
      <c r="K249" s="2" t="s">
        <v>62</v>
      </c>
      <c r="L249" s="2" t="s">
        <v>1399</v>
      </c>
      <c r="M249" s="2" t="s">
        <v>1422</v>
      </c>
      <c r="N249" s="2" t="s">
        <v>1012</v>
      </c>
      <c r="O249" s="2" t="s">
        <v>33</v>
      </c>
      <c r="P249" s="2" t="s">
        <v>1423</v>
      </c>
      <c r="Q249" s="2" t="s">
        <v>985</v>
      </c>
      <c r="R249" s="2" t="s">
        <v>986</v>
      </c>
      <c r="S249" s="2" t="s">
        <v>78</v>
      </c>
      <c r="T249" s="2" t="s">
        <v>1424</v>
      </c>
      <c r="U249" s="2" t="s">
        <v>1425</v>
      </c>
      <c r="V249" s="2" t="s">
        <v>81</v>
      </c>
    </row>
    <row r="250">
      <c r="A250" s="2">
        <v>249</v>
      </c>
      <c r="B250" s="2" t="s">
        <v>131</v>
      </c>
      <c r="C250" s="2" t="s">
        <v>1426</v>
      </c>
      <c r="D250" s="2" t="s">
        <v>980</v>
      </c>
      <c r="E250" s="2" t="s">
        <v>25</v>
      </c>
      <c r="F250" s="2" t="s">
        <v>72</v>
      </c>
      <c r="G250" s="2" t="s">
        <v>73</v>
      </c>
      <c r="H250" s="2" t="s">
        <v>302</v>
      </c>
      <c r="I250" s="2" t="s">
        <v>176</v>
      </c>
      <c r="J250" s="2" t="s">
        <v>676</v>
      </c>
      <c r="K250" s="2" t="s">
        <v>161</v>
      </c>
      <c r="L250" s="2" t="s">
        <v>33</v>
      </c>
      <c r="M250" s="2" t="s">
        <v>63</v>
      </c>
      <c r="N250" s="2" t="s">
        <v>86</v>
      </c>
      <c r="O250" s="2" t="s">
        <v>33</v>
      </c>
      <c r="P250" s="2" t="s">
        <v>76</v>
      </c>
      <c r="Q250" s="2" t="s">
        <v>181</v>
      </c>
      <c r="R250" s="2" t="s">
        <v>305</v>
      </c>
      <c r="S250" s="2" t="s">
        <v>1427</v>
      </c>
      <c r="T250" s="2" t="s">
        <v>1428</v>
      </c>
      <c r="U250" s="2" t="s">
        <v>1429</v>
      </c>
      <c r="V250" s="2" t="s">
        <v>563</v>
      </c>
    </row>
    <row r="251">
      <c r="A251" s="2">
        <v>250</v>
      </c>
      <c r="B251" s="2" t="s">
        <v>192</v>
      </c>
      <c r="C251" s="2" t="s">
        <v>1430</v>
      </c>
      <c r="D251" s="2" t="s">
        <v>980</v>
      </c>
      <c r="E251" s="2" t="s">
        <v>25</v>
      </c>
      <c r="F251" s="2" t="s">
        <v>26</v>
      </c>
      <c r="G251" s="2" t="s">
        <v>73</v>
      </c>
      <c r="H251" s="2" t="s">
        <v>981</v>
      </c>
      <c r="I251" s="2" t="s">
        <v>982</v>
      </c>
      <c r="J251" s="2" t="s">
        <v>1075</v>
      </c>
      <c r="K251" s="2" t="s">
        <v>62</v>
      </c>
      <c r="L251" s="2" t="s">
        <v>33</v>
      </c>
      <c r="M251" s="2" t="s">
        <v>1431</v>
      </c>
      <c r="N251" s="2" t="s">
        <v>1432</v>
      </c>
      <c r="O251" s="2" t="s">
        <v>33</v>
      </c>
      <c r="P251" s="2" t="s">
        <v>76</v>
      </c>
      <c r="Q251" s="2" t="s">
        <v>985</v>
      </c>
      <c r="R251" s="2" t="s">
        <v>986</v>
      </c>
      <c r="S251" s="2" t="s">
        <v>1078</v>
      </c>
      <c r="T251" s="2" t="s">
        <v>1433</v>
      </c>
      <c r="U251" s="2" t="s">
        <v>1434</v>
      </c>
      <c r="V251" s="2" t="s">
        <v>145</v>
      </c>
    </row>
    <row r="252">
      <c r="A252" s="2">
        <v>251</v>
      </c>
      <c r="B252" s="2" t="s">
        <v>117</v>
      </c>
      <c r="C252" s="2" t="s">
        <v>1435</v>
      </c>
      <c r="D252" s="2" t="s">
        <v>980</v>
      </c>
      <c r="E252" s="2" t="s">
        <v>25</v>
      </c>
      <c r="F252" s="2" t="s">
        <v>26</v>
      </c>
      <c r="G252" s="2" t="s">
        <v>27</v>
      </c>
      <c r="H252" s="2" t="s">
        <v>981</v>
      </c>
      <c r="I252" s="2" t="s">
        <v>982</v>
      </c>
      <c r="J252" s="2" t="s">
        <v>629</v>
      </c>
      <c r="K252" s="2" t="s">
        <v>48</v>
      </c>
      <c r="L252" s="2" t="s">
        <v>33</v>
      </c>
      <c r="M252" s="2" t="s">
        <v>1436</v>
      </c>
      <c r="N252" s="2" t="s">
        <v>217</v>
      </c>
      <c r="O252" s="2" t="s">
        <v>33</v>
      </c>
      <c r="P252" s="2" t="s">
        <v>1437</v>
      </c>
      <c r="Q252" s="2" t="s">
        <v>985</v>
      </c>
      <c r="R252" s="2" t="s">
        <v>986</v>
      </c>
      <c r="S252" s="2" t="s">
        <v>281</v>
      </c>
      <c r="T252" s="2" t="s">
        <v>1438</v>
      </c>
      <c r="U252" s="2" t="s">
        <v>1439</v>
      </c>
      <c r="V252" s="2"/>
    </row>
    <row r="253">
      <c r="A253" s="2">
        <v>252</v>
      </c>
      <c r="B253" s="2" t="s">
        <v>56</v>
      </c>
      <c r="C253" s="2" t="s">
        <v>1440</v>
      </c>
      <c r="D253" s="2" t="s">
        <v>980</v>
      </c>
      <c r="E253" s="2" t="s">
        <v>25</v>
      </c>
      <c r="F253" s="2" t="s">
        <v>72</v>
      </c>
      <c r="G253" s="2" t="s">
        <v>73</v>
      </c>
      <c r="H253" s="2" t="s">
        <v>991</v>
      </c>
      <c r="I253" s="2" t="s">
        <v>982</v>
      </c>
      <c r="J253" s="2" t="s">
        <v>676</v>
      </c>
      <c r="K253" s="2" t="s">
        <v>104</v>
      </c>
      <c r="L253" s="2" t="s">
        <v>33</v>
      </c>
      <c r="M253" s="2" t="s">
        <v>1301</v>
      </c>
      <c r="N253" s="2" t="s">
        <v>1441</v>
      </c>
      <c r="O253" s="2" t="s">
        <v>33</v>
      </c>
      <c r="P253" s="2" t="s">
        <v>76</v>
      </c>
      <c r="Q253" s="2" t="s">
        <v>985</v>
      </c>
      <c r="R253" s="2" t="s">
        <v>993</v>
      </c>
      <c r="S253" s="2" t="s">
        <v>1442</v>
      </c>
      <c r="T253" s="2" t="s">
        <v>1443</v>
      </c>
      <c r="U253" s="2" t="s">
        <v>1444</v>
      </c>
      <c r="V253" s="2"/>
    </row>
    <row r="254">
      <c r="A254" s="2">
        <v>253</v>
      </c>
      <c r="B254" s="2" t="s">
        <v>646</v>
      </c>
      <c r="C254" s="2" t="s">
        <v>1445</v>
      </c>
      <c r="D254" s="2" t="s">
        <v>980</v>
      </c>
      <c r="E254" s="2" t="s">
        <v>25</v>
      </c>
      <c r="F254" s="2" t="s">
        <v>72</v>
      </c>
      <c r="G254" s="2" t="s">
        <v>73</v>
      </c>
      <c r="H254" s="2" t="s">
        <v>302</v>
      </c>
      <c r="I254" s="2" t="s">
        <v>176</v>
      </c>
      <c r="J254" s="2" t="s">
        <v>1075</v>
      </c>
      <c r="K254" s="2" t="s">
        <v>161</v>
      </c>
      <c r="L254" s="2" t="s">
        <v>33</v>
      </c>
      <c r="M254" s="2" t="s">
        <v>1446</v>
      </c>
      <c r="N254" s="2" t="s">
        <v>446</v>
      </c>
      <c r="O254" s="2" t="s">
        <v>218</v>
      </c>
      <c r="P254" s="2" t="s">
        <v>1447</v>
      </c>
      <c r="Q254" s="2" t="s">
        <v>181</v>
      </c>
      <c r="R254" s="2" t="s">
        <v>305</v>
      </c>
      <c r="S254" s="2" t="s">
        <v>1099</v>
      </c>
      <c r="T254" s="2" t="s">
        <v>1448</v>
      </c>
      <c r="U254" s="2" t="s">
        <v>1449</v>
      </c>
      <c r="V254" s="2"/>
    </row>
    <row r="255">
      <c r="A255" s="2">
        <v>254</v>
      </c>
      <c r="B255" s="2" t="s">
        <v>41</v>
      </c>
      <c r="C255" s="2" t="s">
        <v>1450</v>
      </c>
      <c r="D255" s="2" t="s">
        <v>980</v>
      </c>
      <c r="E255" s="2" t="s">
        <v>25</v>
      </c>
      <c r="F255" s="2" t="s">
        <v>26</v>
      </c>
      <c r="G255" s="2" t="s">
        <v>73</v>
      </c>
      <c r="H255" s="2" t="s">
        <v>981</v>
      </c>
      <c r="I255" s="2" t="s">
        <v>982</v>
      </c>
      <c r="J255" s="2" t="s">
        <v>676</v>
      </c>
      <c r="K255" s="2" t="s">
        <v>104</v>
      </c>
      <c r="L255" s="2" t="s">
        <v>1451</v>
      </c>
      <c r="M255" s="2" t="s">
        <v>1011</v>
      </c>
      <c r="N255" s="2" t="s">
        <v>1023</v>
      </c>
      <c r="O255" s="2" t="s">
        <v>1452</v>
      </c>
      <c r="P255" s="2" t="s">
        <v>1453</v>
      </c>
      <c r="Q255" s="2" t="s">
        <v>985</v>
      </c>
      <c r="R255" s="2" t="s">
        <v>986</v>
      </c>
      <c r="S255" s="2" t="s">
        <v>1454</v>
      </c>
      <c r="T255" s="2" t="s">
        <v>1455</v>
      </c>
      <c r="U255" s="2" t="s">
        <v>1456</v>
      </c>
      <c r="V255" s="2" t="s">
        <v>145</v>
      </c>
    </row>
    <row r="256">
      <c r="A256" s="2">
        <v>255</v>
      </c>
      <c r="B256" s="2" t="s">
        <v>117</v>
      </c>
      <c r="C256" s="2" t="s">
        <v>1457</v>
      </c>
      <c r="D256" s="2" t="s">
        <v>980</v>
      </c>
      <c r="E256" s="2" t="s">
        <v>25</v>
      </c>
      <c r="F256" s="2" t="s">
        <v>72</v>
      </c>
      <c r="G256" s="2" t="s">
        <v>73</v>
      </c>
      <c r="H256" s="2" t="s">
        <v>991</v>
      </c>
      <c r="I256" s="2" t="s">
        <v>982</v>
      </c>
      <c r="J256" s="2" t="s">
        <v>676</v>
      </c>
      <c r="K256" s="2" t="s">
        <v>31</v>
      </c>
      <c r="L256" s="2" t="s">
        <v>33</v>
      </c>
      <c r="M256" s="2" t="s">
        <v>33</v>
      </c>
      <c r="N256" s="2" t="s">
        <v>1458</v>
      </c>
      <c r="O256" s="2" t="s">
        <v>33</v>
      </c>
      <c r="P256" s="2" t="s">
        <v>76</v>
      </c>
      <c r="Q256" s="2" t="s">
        <v>985</v>
      </c>
      <c r="R256" s="2" t="s">
        <v>993</v>
      </c>
      <c r="S256" s="2" t="s">
        <v>78</v>
      </c>
      <c r="T256" s="2" t="s">
        <v>1459</v>
      </c>
      <c r="U256" s="2" t="s">
        <v>1460</v>
      </c>
      <c r="V256" s="2" t="s">
        <v>81</v>
      </c>
    </row>
    <row r="257">
      <c r="A257" s="2">
        <v>256</v>
      </c>
      <c r="B257" s="2" t="s">
        <v>82</v>
      </c>
      <c r="C257" s="2" t="s">
        <v>1461</v>
      </c>
      <c r="D257" s="2" t="s">
        <v>980</v>
      </c>
      <c r="E257" s="2" t="s">
        <v>25</v>
      </c>
      <c r="F257" s="2" t="s">
        <v>72</v>
      </c>
      <c r="G257" s="2" t="s">
        <v>73</v>
      </c>
      <c r="H257" s="2" t="s">
        <v>991</v>
      </c>
      <c r="I257" s="2" t="s">
        <v>982</v>
      </c>
      <c r="J257" s="2" t="s">
        <v>676</v>
      </c>
      <c r="K257" s="2" t="s">
        <v>31</v>
      </c>
      <c r="L257" s="2" t="s">
        <v>33</v>
      </c>
      <c r="M257" s="2" t="s">
        <v>33</v>
      </c>
      <c r="N257" s="2" t="s">
        <v>1462</v>
      </c>
      <c r="O257" s="2" t="s">
        <v>33</v>
      </c>
      <c r="P257" s="2" t="s">
        <v>1463</v>
      </c>
      <c r="Q257" s="2" t="s">
        <v>985</v>
      </c>
      <c r="R257" s="2" t="s">
        <v>993</v>
      </c>
      <c r="S257" s="2" t="s">
        <v>1110</v>
      </c>
      <c r="T257" s="2" t="s">
        <v>1464</v>
      </c>
      <c r="U257" s="2" t="s">
        <v>1465</v>
      </c>
      <c r="V257" s="2" t="s">
        <v>191</v>
      </c>
    </row>
    <row r="258">
      <c r="A258" s="2">
        <v>257</v>
      </c>
      <c r="B258" s="2" t="s">
        <v>131</v>
      </c>
      <c r="C258" s="2" t="s">
        <v>1466</v>
      </c>
      <c r="D258" s="2" t="s">
        <v>980</v>
      </c>
      <c r="E258" s="2" t="s">
        <v>25</v>
      </c>
      <c r="F258" s="2" t="s">
        <v>72</v>
      </c>
      <c r="G258" s="2" t="s">
        <v>73</v>
      </c>
      <c r="H258" s="2" t="s">
        <v>1149</v>
      </c>
      <c r="I258" s="2" t="s">
        <v>1150</v>
      </c>
      <c r="J258" s="2" t="s">
        <v>112</v>
      </c>
      <c r="K258" s="2" t="s">
        <v>62</v>
      </c>
      <c r="L258" s="2" t="s">
        <v>33</v>
      </c>
      <c r="M258" s="2" t="s">
        <v>33</v>
      </c>
      <c r="N258" s="2" t="s">
        <v>86</v>
      </c>
      <c r="O258" s="2" t="s">
        <v>33</v>
      </c>
      <c r="P258" s="2" t="s">
        <v>1467</v>
      </c>
      <c r="Q258" s="2" t="s">
        <v>1152</v>
      </c>
      <c r="R258" s="2" t="s">
        <v>1153</v>
      </c>
      <c r="S258" s="2" t="s">
        <v>1468</v>
      </c>
      <c r="T258" s="2" t="s">
        <v>1469</v>
      </c>
      <c r="U258" s="2" t="s">
        <v>1470</v>
      </c>
      <c r="V258" s="2" t="s">
        <v>145</v>
      </c>
    </row>
    <row r="259">
      <c r="A259" s="2">
        <v>258</v>
      </c>
      <c r="B259" s="2" t="s">
        <v>1471</v>
      </c>
      <c r="C259" s="2" t="s">
        <v>1472</v>
      </c>
      <c r="D259" s="2" t="s">
        <v>980</v>
      </c>
      <c r="E259" s="2" t="s">
        <v>25</v>
      </c>
      <c r="F259" s="2" t="s">
        <v>72</v>
      </c>
      <c r="G259" s="2" t="s">
        <v>73</v>
      </c>
      <c r="H259" s="2" t="s">
        <v>302</v>
      </c>
      <c r="I259" s="2" t="s">
        <v>176</v>
      </c>
      <c r="J259" s="2" t="s">
        <v>676</v>
      </c>
      <c r="K259" s="2" t="s">
        <v>48</v>
      </c>
      <c r="L259" s="2" t="s">
        <v>33</v>
      </c>
      <c r="M259" s="2" t="s">
        <v>33</v>
      </c>
      <c r="N259" s="2" t="s">
        <v>243</v>
      </c>
      <c r="O259" s="2" t="s">
        <v>33</v>
      </c>
      <c r="P259" s="2" t="s">
        <v>76</v>
      </c>
      <c r="Q259" s="2" t="s">
        <v>181</v>
      </c>
      <c r="R259" s="2" t="s">
        <v>305</v>
      </c>
      <c r="S259" s="2" t="s">
        <v>1473</v>
      </c>
      <c r="T259" s="2" t="s">
        <v>1474</v>
      </c>
      <c r="U259" s="2" t="s">
        <v>1475</v>
      </c>
      <c r="V259" s="2"/>
    </row>
    <row r="260">
      <c r="A260" s="2">
        <v>259</v>
      </c>
      <c r="B260" s="2" t="s">
        <v>82</v>
      </c>
      <c r="C260" s="2" t="s">
        <v>1476</v>
      </c>
      <c r="D260" s="2" t="s">
        <v>980</v>
      </c>
      <c r="E260" s="2" t="s">
        <v>25</v>
      </c>
      <c r="F260" s="2" t="s">
        <v>72</v>
      </c>
      <c r="G260" s="2" t="s">
        <v>73</v>
      </c>
      <c r="H260" s="2" t="s">
        <v>991</v>
      </c>
      <c r="I260" s="2" t="s">
        <v>982</v>
      </c>
      <c r="J260" s="2" t="s">
        <v>676</v>
      </c>
      <c r="K260" s="2" t="s">
        <v>48</v>
      </c>
      <c r="L260" s="2" t="s">
        <v>33</v>
      </c>
      <c r="M260" s="2" t="s">
        <v>33</v>
      </c>
      <c r="N260" s="2" t="s">
        <v>1353</v>
      </c>
      <c r="O260" s="2" t="s">
        <v>33</v>
      </c>
      <c r="P260" s="2" t="s">
        <v>1477</v>
      </c>
      <c r="Q260" s="2" t="s">
        <v>985</v>
      </c>
      <c r="R260" s="2" t="s">
        <v>993</v>
      </c>
      <c r="S260" s="2" t="s">
        <v>1059</v>
      </c>
      <c r="T260" s="2" t="s">
        <v>1478</v>
      </c>
      <c r="U260" s="2" t="s">
        <v>1479</v>
      </c>
      <c r="V260" s="2"/>
    </row>
    <row r="261">
      <c r="A261" s="2">
        <v>260</v>
      </c>
      <c r="B261" s="2" t="s">
        <v>82</v>
      </c>
      <c r="C261" s="2" t="s">
        <v>1480</v>
      </c>
      <c r="D261" s="2" t="s">
        <v>980</v>
      </c>
      <c r="E261" s="2" t="s">
        <v>25</v>
      </c>
      <c r="F261" s="2" t="s">
        <v>72</v>
      </c>
      <c r="G261" s="2" t="s">
        <v>73</v>
      </c>
      <c r="H261" s="2" t="s">
        <v>991</v>
      </c>
      <c r="I261" s="2" t="s">
        <v>982</v>
      </c>
      <c r="J261" s="2" t="s">
        <v>676</v>
      </c>
      <c r="K261" s="2" t="s">
        <v>104</v>
      </c>
      <c r="L261" s="2" t="s">
        <v>33</v>
      </c>
      <c r="M261" s="2" t="s">
        <v>998</v>
      </c>
      <c r="N261" s="2" t="s">
        <v>243</v>
      </c>
      <c r="O261" s="2" t="s">
        <v>33</v>
      </c>
      <c r="P261" s="2" t="s">
        <v>1481</v>
      </c>
      <c r="Q261" s="2" t="s">
        <v>985</v>
      </c>
      <c r="R261" s="2" t="s">
        <v>993</v>
      </c>
      <c r="S261" s="2" t="s">
        <v>78</v>
      </c>
      <c r="T261" s="2" t="s">
        <v>1482</v>
      </c>
      <c r="U261" s="2" t="s">
        <v>1483</v>
      </c>
      <c r="V261" s="2" t="s">
        <v>81</v>
      </c>
    </row>
    <row r="262">
      <c r="A262" s="2">
        <v>261</v>
      </c>
      <c r="B262" s="2" t="s">
        <v>82</v>
      </c>
      <c r="C262" s="2" t="s">
        <v>1484</v>
      </c>
      <c r="D262" s="2" t="s">
        <v>980</v>
      </c>
      <c r="E262" s="2" t="s">
        <v>25</v>
      </c>
      <c r="F262" s="2" t="s">
        <v>26</v>
      </c>
      <c r="G262" s="2" t="s">
        <v>27</v>
      </c>
      <c r="H262" s="2" t="s">
        <v>981</v>
      </c>
      <c r="I262" s="2" t="s">
        <v>982</v>
      </c>
      <c r="J262" s="2" t="s">
        <v>112</v>
      </c>
      <c r="K262" s="2" t="s">
        <v>62</v>
      </c>
      <c r="L262" s="2" t="s">
        <v>1485</v>
      </c>
      <c r="M262" s="2" t="s">
        <v>33</v>
      </c>
      <c r="N262" s="2" t="s">
        <v>1486</v>
      </c>
      <c r="O262" s="2" t="s">
        <v>33</v>
      </c>
      <c r="P262" s="2" t="s">
        <v>1487</v>
      </c>
      <c r="Q262" s="2" t="s">
        <v>985</v>
      </c>
      <c r="R262" s="2" t="s">
        <v>986</v>
      </c>
      <c r="S262" s="2" t="s">
        <v>1488</v>
      </c>
      <c r="T262" s="2" t="s">
        <v>1489</v>
      </c>
      <c r="U262" s="2" t="s">
        <v>1490</v>
      </c>
      <c r="V262" s="2"/>
    </row>
    <row r="263">
      <c r="A263" s="2">
        <v>262</v>
      </c>
      <c r="B263" s="2" t="s">
        <v>82</v>
      </c>
      <c r="C263" s="2" t="s">
        <v>1491</v>
      </c>
      <c r="D263" s="2" t="s">
        <v>980</v>
      </c>
      <c r="E263" s="2" t="s">
        <v>25</v>
      </c>
      <c r="F263" s="2" t="s">
        <v>72</v>
      </c>
      <c r="G263" s="2" t="s">
        <v>73</v>
      </c>
      <c r="H263" s="2" t="s">
        <v>302</v>
      </c>
      <c r="I263" s="2" t="s">
        <v>176</v>
      </c>
      <c r="J263" s="2" t="s">
        <v>629</v>
      </c>
      <c r="K263" s="2" t="s">
        <v>62</v>
      </c>
      <c r="L263" s="2" t="s">
        <v>1040</v>
      </c>
      <c r="M263" s="2" t="s">
        <v>1492</v>
      </c>
      <c r="N263" s="2" t="s">
        <v>665</v>
      </c>
      <c r="O263" s="2" t="s">
        <v>33</v>
      </c>
      <c r="P263" s="2" t="s">
        <v>1493</v>
      </c>
      <c r="Q263" s="2" t="s">
        <v>181</v>
      </c>
      <c r="R263" s="2" t="s">
        <v>305</v>
      </c>
      <c r="S263" s="2" t="s">
        <v>1494</v>
      </c>
      <c r="T263" s="2" t="s">
        <v>1495</v>
      </c>
      <c r="U263" s="2" t="s">
        <v>1496</v>
      </c>
      <c r="V263" s="2"/>
    </row>
    <row r="264">
      <c r="A264" s="2">
        <v>263</v>
      </c>
      <c r="B264" s="2" t="s">
        <v>82</v>
      </c>
      <c r="C264" s="2" t="s">
        <v>1497</v>
      </c>
      <c r="D264" s="2" t="s">
        <v>980</v>
      </c>
      <c r="E264" s="2" t="s">
        <v>25</v>
      </c>
      <c r="F264" s="2" t="s">
        <v>72</v>
      </c>
      <c r="G264" s="2" t="s">
        <v>73</v>
      </c>
      <c r="H264" s="2" t="s">
        <v>991</v>
      </c>
      <c r="I264" s="2" t="s">
        <v>982</v>
      </c>
      <c r="J264" s="2" t="s">
        <v>676</v>
      </c>
      <c r="K264" s="2" t="s">
        <v>31</v>
      </c>
      <c r="L264" s="2" t="s">
        <v>33</v>
      </c>
      <c r="M264" s="2" t="s">
        <v>998</v>
      </c>
      <c r="N264" s="2" t="s">
        <v>1093</v>
      </c>
      <c r="O264" s="2" t="s">
        <v>33</v>
      </c>
      <c r="P264" s="2" t="s">
        <v>1498</v>
      </c>
      <c r="Q264" s="2" t="s">
        <v>985</v>
      </c>
      <c r="R264" s="2" t="s">
        <v>993</v>
      </c>
      <c r="S264" s="2" t="s">
        <v>1276</v>
      </c>
      <c r="T264" s="2" t="s">
        <v>1499</v>
      </c>
      <c r="U264" s="2" t="s">
        <v>1500</v>
      </c>
      <c r="V264"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007900D4-00D4-4513-858E-00C5004600A5}">
            <xm:f>F2="Core"</xm:f>
            <x14:dxf>
              <font>
                <b/>
              </font>
              <fill>
                <patternFill patternType="solid">
                  <fgColor rgb="FFD9EAD3"/>
                  <bgColor rgb="FFD9EAD3"/>
                </patternFill>
              </fill>
            </x14:dxf>
          </x14:cfRule>
          <xm:sqref>F2:F264</xm:sqref>
        </x14:conditionalFormatting>
        <x14:conditionalFormatting xmlns:xm="http://schemas.microsoft.com/office/excel/2006/main">
          <x14:cfRule type="expression" priority="2" id="{00420033-00E2-47D4-8354-009000620051}">
            <xm:f>F2="Supporting"</xm:f>
            <x14:dxf>
              <fill>
                <patternFill patternType="solid">
                  <fgColor rgb="FFFFF2CC"/>
                  <bgColor rgb="FFFFF2CC"/>
                </patternFill>
              </fill>
            </x14:dxf>
          </x14:cfRule>
          <xm:sqref>F2:F264</xm:sqref>
        </x14:conditionalFormatting>
        <x14:conditionalFormatting xmlns:xm="http://schemas.microsoft.com/office/excel/2006/main">
          <x14:cfRule type="expression" priority="3" id="{00CE00C8-00EF-4558-B009-0017003B00C0}">
            <xm:f>F2="Exclude"</xm:f>
            <x14:dxf>
              <fill>
                <patternFill patternType="solid">
                  <fgColor rgb="FFF4CCCC"/>
                  <bgColor rgb="FFF4CCCC"/>
                </patternFill>
              </fill>
            </x14:dxf>
          </x14:cfRule>
          <xm:sqref>F2:F264</xm:sqref>
        </x14:conditionalFormatting>
        <x14:conditionalFormatting xmlns:xm="http://schemas.microsoft.com/office/excel/2006/main">
          <x14:cfRule type="expression" priority="4" id="{003A000A-00FF-4CC6-BC21-005E00FB00B8}">
            <xm:f>G2="High"</xm:f>
            <x14:dxf>
              <font>
                <b/>
              </font>
              <fill>
                <patternFill patternType="solid">
                  <fgColor rgb="FFD9EAD3"/>
                  <bgColor rgb="FFD9EAD3"/>
                </patternFill>
              </fill>
            </x14:dxf>
          </x14:cfRule>
          <xm:sqref>G2:G264</xm:sqref>
        </x14:conditionalFormatting>
        <x14:conditionalFormatting xmlns:xm="http://schemas.microsoft.com/office/excel/2006/main">
          <x14:cfRule type="expression" priority="5" id="{00550032-0028-4BED-9882-00EE009E0066}">
            <xm:f>G2="Medium"</xm:f>
            <x14:dxf>
              <fill>
                <patternFill patternType="solid">
                  <fgColor rgb="FFFFF2CC"/>
                  <bgColor rgb="FFFFF2CC"/>
                </patternFill>
              </fill>
            </x14:dxf>
          </x14:cfRule>
          <xm:sqref>G2:G264</xm:sqref>
        </x14:conditionalFormatting>
        <x14:conditionalFormatting xmlns:xm="http://schemas.microsoft.com/office/excel/2006/main">
          <x14:cfRule type="expression" priority="6" id="{002400BF-0016-49BF-9307-0054007600D9}">
            <xm:f>G2="Low"</xm:f>
            <x14:dxf>
              <fill>
                <patternFill patternType="solid">
                  <fgColor rgb="FFE7E6E6"/>
                  <bgColor rgb="FFE7E6E6"/>
                </patternFill>
              </fill>
            </x14:dxf>
          </x14:cfRule>
          <xm:sqref>G2:G264</xm:sqref>
        </x14:conditionalFormatting>
        <x14:conditionalFormatting xmlns:xm="http://schemas.microsoft.com/office/excel/2006/main">
          <x14:cfRule type="expression" priority="7" id="{005F00F5-0088-40D0-82FC-00A000A90084}">
            <xm:f>E2="Yes"</xm:f>
            <x14:dxf>
              <font>
                <b/>
              </font>
              <fill>
                <patternFill patternType="solid">
                  <fgColor rgb="FFFCE5CD"/>
                  <bgColor rgb="FFFCE5CD"/>
                </patternFill>
              </fill>
            </x14:dxf>
          </x14:cfRule>
          <xm:sqref>E2:E264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5"/>
    <col customWidth="1" min="2" max="2" width="8"/>
    <col customWidth="1" min="3" max="3" width="48"/>
    <col customWidth="1" min="4" max="4" width="31"/>
    <col customWidth="1" min="5" max="5" width="13"/>
    <col customWidth="1" min="6" max="6" width="12"/>
    <col customWidth="1" min="7" max="7" width="10"/>
    <col customWidth="1" min="8" max="8" width="39"/>
    <col customWidth="1" min="9" max="9" width="30"/>
    <col customWidth="1" min="10" max="10" width="31"/>
    <col customWidth="1" min="11" max="11" width="25"/>
    <col customWidth="1" min="12" max="12" width="26"/>
    <col customWidth="1" min="13" max="14" width="36"/>
    <col customWidth="1" min="15" max="15" width="32"/>
    <col customWidth="1" min="16" max="16" width="48"/>
    <col customWidth="1" min="17" max="17" width="31"/>
    <col customWidth="1" min="18" max="18" width="55"/>
    <col customWidth="1" min="19" max="19" width="30"/>
    <col customWidth="1" min="20" max="20" width="31"/>
    <col customWidth="1" min="21" max="21" width="36"/>
    <col customWidth="1" min="22" max="22"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25</v>
      </c>
      <c r="R2" s="2" t="s">
        <v>37</v>
      </c>
      <c r="S2" s="2" t="s">
        <v>38</v>
      </c>
      <c r="T2" s="2" t="s">
        <v>39</v>
      </c>
      <c r="U2" s="2" t="s">
        <v>40</v>
      </c>
      <c r="V2" s="2"/>
    </row>
    <row r="3">
      <c r="A3" s="2">
        <v>2</v>
      </c>
      <c r="B3" s="2" t="s">
        <v>41</v>
      </c>
      <c r="C3" s="2" t="s">
        <v>42</v>
      </c>
      <c r="D3" s="2" t="s">
        <v>43</v>
      </c>
      <c r="E3" s="2" t="s">
        <v>44</v>
      </c>
      <c r="F3" s="2" t="s">
        <v>26</v>
      </c>
      <c r="G3" s="2" t="s">
        <v>27</v>
      </c>
      <c r="H3" s="2" t="s">
        <v>45</v>
      </c>
      <c r="I3" s="2" t="s">
        <v>46</v>
      </c>
      <c r="J3" s="2" t="s">
        <v>47</v>
      </c>
      <c r="K3" s="2" t="s">
        <v>48</v>
      </c>
      <c r="L3" s="2" t="s">
        <v>33</v>
      </c>
      <c r="M3" s="2" t="s">
        <v>49</v>
      </c>
      <c r="N3" s="2" t="s">
        <v>34</v>
      </c>
      <c r="O3" s="2" t="s">
        <v>50</v>
      </c>
      <c r="P3" s="2" t="s">
        <v>51</v>
      </c>
      <c r="Q3" s="2" t="s">
        <v>25</v>
      </c>
      <c r="R3" s="2" t="s">
        <v>52</v>
      </c>
      <c r="S3" s="2" t="s">
        <v>53</v>
      </c>
      <c r="T3" s="2" t="s">
        <v>54</v>
      </c>
      <c r="U3" s="2" t="s">
        <v>55</v>
      </c>
      <c r="V3" s="2"/>
    </row>
    <row r="4">
      <c r="A4" s="2">
        <v>8</v>
      </c>
      <c r="B4" s="2" t="s">
        <v>41</v>
      </c>
      <c r="C4" s="2" t="s">
        <v>103</v>
      </c>
      <c r="D4" s="2" t="s">
        <v>24</v>
      </c>
      <c r="E4" s="2" t="s">
        <v>25</v>
      </c>
      <c r="F4" s="2" t="s">
        <v>26</v>
      </c>
      <c r="G4" s="2" t="s">
        <v>27</v>
      </c>
      <c r="H4" s="2" t="s">
        <v>28</v>
      </c>
      <c r="I4" s="2" t="s">
        <v>29</v>
      </c>
      <c r="J4" s="2" t="s">
        <v>30</v>
      </c>
      <c r="K4" s="2" t="s">
        <v>104</v>
      </c>
      <c r="L4" s="2" t="s">
        <v>33</v>
      </c>
      <c r="M4" s="2" t="s">
        <v>33</v>
      </c>
      <c r="N4" s="2" t="s">
        <v>105</v>
      </c>
      <c r="O4" s="2" t="s">
        <v>33</v>
      </c>
      <c r="P4" s="2" t="s">
        <v>106</v>
      </c>
      <c r="Q4" s="2" t="s">
        <v>25</v>
      </c>
      <c r="R4" s="2" t="s">
        <v>37</v>
      </c>
      <c r="S4" s="2" t="s">
        <v>107</v>
      </c>
      <c r="T4" s="2" t="s">
        <v>108</v>
      </c>
      <c r="U4" s="2" t="s">
        <v>109</v>
      </c>
      <c r="V4" s="2"/>
    </row>
    <row r="5">
      <c r="A5" s="2">
        <v>10</v>
      </c>
      <c r="B5" s="2" t="s">
        <v>117</v>
      </c>
      <c r="C5" s="2" t="s">
        <v>118</v>
      </c>
      <c r="D5" s="2" t="s">
        <v>43</v>
      </c>
      <c r="E5" s="2" t="s">
        <v>44</v>
      </c>
      <c r="F5" s="2" t="s">
        <v>26</v>
      </c>
      <c r="G5" s="2" t="s">
        <v>73</v>
      </c>
      <c r="H5" s="2" t="s">
        <v>45</v>
      </c>
      <c r="I5" s="2" t="s">
        <v>29</v>
      </c>
      <c r="J5" s="2" t="s">
        <v>112</v>
      </c>
      <c r="K5" s="2" t="s">
        <v>48</v>
      </c>
      <c r="L5" s="2" t="s">
        <v>33</v>
      </c>
      <c r="M5" s="2" t="s">
        <v>33</v>
      </c>
      <c r="N5" s="2" t="s">
        <v>119</v>
      </c>
      <c r="O5" s="2" t="s">
        <v>33</v>
      </c>
      <c r="P5" s="2" t="s">
        <v>120</v>
      </c>
      <c r="Q5" s="2" t="s">
        <v>25</v>
      </c>
      <c r="R5" s="2" t="s">
        <v>52</v>
      </c>
      <c r="S5" s="2" t="s">
        <v>121</v>
      </c>
      <c r="T5" s="2" t="s">
        <v>122</v>
      </c>
      <c r="U5" s="2" t="s">
        <v>123</v>
      </c>
      <c r="V5" s="2"/>
    </row>
    <row r="6">
      <c r="A6" s="2">
        <v>11</v>
      </c>
      <c r="B6" s="2" t="s">
        <v>110</v>
      </c>
      <c r="C6" s="2" t="s">
        <v>124</v>
      </c>
      <c r="D6" s="2" t="s">
        <v>43</v>
      </c>
      <c r="E6" s="2" t="s">
        <v>44</v>
      </c>
      <c r="F6" s="2" t="s">
        <v>26</v>
      </c>
      <c r="G6" s="2" t="s">
        <v>73</v>
      </c>
      <c r="H6" s="2" t="s">
        <v>45</v>
      </c>
      <c r="I6" s="2" t="s">
        <v>29</v>
      </c>
      <c r="J6" s="2" t="s">
        <v>84</v>
      </c>
      <c r="K6" s="2" t="s">
        <v>31</v>
      </c>
      <c r="L6" s="2" t="s">
        <v>33</v>
      </c>
      <c r="M6" s="2" t="s">
        <v>125</v>
      </c>
      <c r="N6" s="2" t="s">
        <v>126</v>
      </c>
      <c r="O6" s="2" t="s">
        <v>33</v>
      </c>
      <c r="P6" s="2" t="s">
        <v>127</v>
      </c>
      <c r="Q6" s="2" t="s">
        <v>25</v>
      </c>
      <c r="R6" s="2" t="s">
        <v>52</v>
      </c>
      <c r="S6" s="2" t="s">
        <v>128</v>
      </c>
      <c r="T6" s="2" t="s">
        <v>129</v>
      </c>
      <c r="U6" s="2" t="s">
        <v>130</v>
      </c>
      <c r="V6" s="2"/>
    </row>
    <row r="7">
      <c r="A7" s="2">
        <v>12</v>
      </c>
      <c r="B7" s="2" t="s">
        <v>131</v>
      </c>
      <c r="C7" s="2" t="s">
        <v>132</v>
      </c>
      <c r="D7" s="2" t="s">
        <v>43</v>
      </c>
      <c r="E7" s="2" t="s">
        <v>44</v>
      </c>
      <c r="F7" s="2" t="s">
        <v>26</v>
      </c>
      <c r="G7" s="2" t="s">
        <v>73</v>
      </c>
      <c r="H7" s="2" t="s">
        <v>45</v>
      </c>
      <c r="I7" s="2" t="s">
        <v>46</v>
      </c>
      <c r="J7" s="2" t="s">
        <v>47</v>
      </c>
      <c r="K7" s="2" t="s">
        <v>104</v>
      </c>
      <c r="L7" s="2" t="s">
        <v>33</v>
      </c>
      <c r="M7" s="2" t="s">
        <v>133</v>
      </c>
      <c r="N7" s="2" t="s">
        <v>86</v>
      </c>
      <c r="O7" s="2" t="s">
        <v>33</v>
      </c>
      <c r="P7" s="2" t="s">
        <v>134</v>
      </c>
      <c r="Q7" s="2" t="s">
        <v>25</v>
      </c>
      <c r="R7" s="2" t="s">
        <v>52</v>
      </c>
      <c r="S7" s="2" t="s">
        <v>135</v>
      </c>
      <c r="T7" s="2" t="s">
        <v>136</v>
      </c>
      <c r="U7" s="2" t="s">
        <v>137</v>
      </c>
      <c r="V7" s="2"/>
    </row>
    <row r="8">
      <c r="A8" s="2">
        <v>14</v>
      </c>
      <c r="B8" s="2" t="s">
        <v>110</v>
      </c>
      <c r="C8" s="2" t="s">
        <v>146</v>
      </c>
      <c r="D8" s="2" t="s">
        <v>24</v>
      </c>
      <c r="E8" s="2" t="s">
        <v>25</v>
      </c>
      <c r="F8" s="2" t="s">
        <v>26</v>
      </c>
      <c r="G8" s="2" t="s">
        <v>27</v>
      </c>
      <c r="H8" s="2" t="s">
        <v>28</v>
      </c>
      <c r="I8" s="2" t="s">
        <v>29</v>
      </c>
      <c r="J8" s="2" t="s">
        <v>98</v>
      </c>
      <c r="K8" s="2" t="s">
        <v>31</v>
      </c>
      <c r="L8" s="2" t="s">
        <v>33</v>
      </c>
      <c r="M8" s="2" t="s">
        <v>147</v>
      </c>
      <c r="N8" s="2" t="s">
        <v>34</v>
      </c>
      <c r="O8" s="2" t="s">
        <v>33</v>
      </c>
      <c r="P8" s="2" t="s">
        <v>148</v>
      </c>
      <c r="Q8" s="2" t="s">
        <v>25</v>
      </c>
      <c r="R8" s="2" t="s">
        <v>37</v>
      </c>
      <c r="S8" s="2" t="s">
        <v>149</v>
      </c>
      <c r="T8" s="2" t="s">
        <v>150</v>
      </c>
      <c r="U8" s="2" t="s">
        <v>151</v>
      </c>
      <c r="V8" s="2" t="s">
        <v>152</v>
      </c>
    </row>
    <row r="9">
      <c r="A9" s="2">
        <v>15</v>
      </c>
      <c r="B9" s="2" t="s">
        <v>82</v>
      </c>
      <c r="C9" s="2" t="s">
        <v>153</v>
      </c>
      <c r="D9" s="2" t="s">
        <v>24</v>
      </c>
      <c r="E9" s="2" t="s">
        <v>25</v>
      </c>
      <c r="F9" s="2" t="s">
        <v>26</v>
      </c>
      <c r="G9" s="2" t="s">
        <v>27</v>
      </c>
      <c r="H9" s="2" t="s">
        <v>28</v>
      </c>
      <c r="I9" s="2" t="s">
        <v>46</v>
      </c>
      <c r="J9" s="2" t="s">
        <v>154</v>
      </c>
      <c r="K9" s="2" t="s">
        <v>104</v>
      </c>
      <c r="L9" s="2" t="s">
        <v>33</v>
      </c>
      <c r="M9" s="2" t="s">
        <v>33</v>
      </c>
      <c r="N9" s="2" t="s">
        <v>86</v>
      </c>
      <c r="O9" s="2" t="s">
        <v>33</v>
      </c>
      <c r="P9" s="2" t="s">
        <v>155</v>
      </c>
      <c r="Q9" s="2" t="s">
        <v>25</v>
      </c>
      <c r="R9" s="2" t="s">
        <v>37</v>
      </c>
      <c r="S9" s="2" t="s">
        <v>156</v>
      </c>
      <c r="T9" s="2" t="s">
        <v>157</v>
      </c>
      <c r="U9" s="2" t="s">
        <v>158</v>
      </c>
      <c r="V9" s="2" t="s">
        <v>81</v>
      </c>
    </row>
    <row r="10">
      <c r="A10" s="2">
        <v>16</v>
      </c>
      <c r="B10" s="2" t="s">
        <v>82</v>
      </c>
      <c r="C10" s="2" t="s">
        <v>159</v>
      </c>
      <c r="D10" s="2" t="s">
        <v>43</v>
      </c>
      <c r="E10" s="2" t="s">
        <v>44</v>
      </c>
      <c r="F10" s="2" t="s">
        <v>26</v>
      </c>
      <c r="G10" s="2" t="s">
        <v>27</v>
      </c>
      <c r="H10" s="2" t="s">
        <v>45</v>
      </c>
      <c r="I10" s="2" t="s">
        <v>46</v>
      </c>
      <c r="J10" s="2" t="s">
        <v>160</v>
      </c>
      <c r="K10" s="2" t="s">
        <v>161</v>
      </c>
      <c r="L10" s="2" t="s">
        <v>162</v>
      </c>
      <c r="M10" s="2" t="s">
        <v>49</v>
      </c>
      <c r="N10" s="2" t="s">
        <v>163</v>
      </c>
      <c r="O10" s="2" t="s">
        <v>50</v>
      </c>
      <c r="P10" s="2" t="s">
        <v>164</v>
      </c>
      <c r="Q10" s="2" t="s">
        <v>25</v>
      </c>
      <c r="R10" s="2" t="s">
        <v>52</v>
      </c>
      <c r="S10" s="2" t="s">
        <v>165</v>
      </c>
      <c r="T10" s="2" t="s">
        <v>166</v>
      </c>
      <c r="U10" s="2" t="s">
        <v>167</v>
      </c>
      <c r="V10" s="2" t="s">
        <v>81</v>
      </c>
    </row>
    <row r="11">
      <c r="A11" s="2">
        <v>17</v>
      </c>
      <c r="B11" s="2" t="s">
        <v>117</v>
      </c>
      <c r="C11" s="2" t="s">
        <v>168</v>
      </c>
      <c r="D11" s="2" t="s">
        <v>43</v>
      </c>
      <c r="E11" s="2" t="s">
        <v>44</v>
      </c>
      <c r="F11" s="2" t="s">
        <v>26</v>
      </c>
      <c r="G11" s="2" t="s">
        <v>73</v>
      </c>
      <c r="H11" s="2" t="s">
        <v>45</v>
      </c>
      <c r="I11" s="2" t="s">
        <v>46</v>
      </c>
      <c r="J11" s="2" t="s">
        <v>84</v>
      </c>
      <c r="K11" s="2" t="s">
        <v>48</v>
      </c>
      <c r="L11" s="2" t="s">
        <v>33</v>
      </c>
      <c r="M11" s="2" t="s">
        <v>169</v>
      </c>
      <c r="N11" s="2" t="s">
        <v>170</v>
      </c>
      <c r="O11" s="2" t="s">
        <v>33</v>
      </c>
      <c r="P11" s="2" t="s">
        <v>171</v>
      </c>
      <c r="Q11" s="2" t="s">
        <v>25</v>
      </c>
      <c r="R11" s="2" t="s">
        <v>52</v>
      </c>
      <c r="S11" s="2" t="s">
        <v>172</v>
      </c>
      <c r="T11" s="2" t="s">
        <v>173</v>
      </c>
      <c r="U11" s="2" t="s">
        <v>174</v>
      </c>
      <c r="V11" s="2" t="s">
        <v>81</v>
      </c>
    </row>
    <row r="12">
      <c r="A12" s="2">
        <v>18</v>
      </c>
      <c r="B12" s="2" t="s">
        <v>41</v>
      </c>
      <c r="C12" s="2" t="s">
        <v>175</v>
      </c>
      <c r="D12" s="2" t="s">
        <v>43</v>
      </c>
      <c r="E12" s="2" t="s">
        <v>44</v>
      </c>
      <c r="F12" s="2" t="s">
        <v>26</v>
      </c>
      <c r="G12" s="2" t="s">
        <v>27</v>
      </c>
      <c r="H12" s="2" t="s">
        <v>45</v>
      </c>
      <c r="I12" s="2" t="s">
        <v>176</v>
      </c>
      <c r="J12" s="2" t="s">
        <v>84</v>
      </c>
      <c r="K12" s="2" t="s">
        <v>62</v>
      </c>
      <c r="L12" s="2" t="s">
        <v>177</v>
      </c>
      <c r="M12" s="2" t="s">
        <v>178</v>
      </c>
      <c r="N12" s="2" t="s">
        <v>179</v>
      </c>
      <c r="O12" s="2" t="s">
        <v>35</v>
      </c>
      <c r="P12" s="2" t="s">
        <v>180</v>
      </c>
      <c r="Q12" s="2" t="s">
        <v>181</v>
      </c>
      <c r="R12" s="2" t="s">
        <v>52</v>
      </c>
      <c r="S12" s="2" t="s">
        <v>182</v>
      </c>
      <c r="T12" s="2" t="s">
        <v>183</v>
      </c>
      <c r="U12" s="2" t="s">
        <v>184</v>
      </c>
      <c r="V12" s="2"/>
    </row>
    <row r="13">
      <c r="A13" s="2">
        <v>22</v>
      </c>
      <c r="B13" s="2" t="s">
        <v>41</v>
      </c>
      <c r="C13" s="2" t="s">
        <v>202</v>
      </c>
      <c r="D13" s="2" t="s">
        <v>43</v>
      </c>
      <c r="E13" s="2" t="s">
        <v>44</v>
      </c>
      <c r="F13" s="2" t="s">
        <v>26</v>
      </c>
      <c r="G13" s="2" t="s">
        <v>27</v>
      </c>
      <c r="H13" s="2" t="s">
        <v>45</v>
      </c>
      <c r="I13" s="2" t="s">
        <v>46</v>
      </c>
      <c r="J13" s="2" t="s">
        <v>47</v>
      </c>
      <c r="K13" s="2" t="s">
        <v>48</v>
      </c>
      <c r="L13" s="2" t="s">
        <v>203</v>
      </c>
      <c r="M13" s="2" t="s">
        <v>63</v>
      </c>
      <c r="N13" s="2" t="s">
        <v>204</v>
      </c>
      <c r="O13" s="2" t="s">
        <v>205</v>
      </c>
      <c r="P13" s="2" t="s">
        <v>206</v>
      </c>
      <c r="Q13" s="2" t="s">
        <v>25</v>
      </c>
      <c r="R13" s="2" t="s">
        <v>52</v>
      </c>
      <c r="S13" s="2" t="s">
        <v>207</v>
      </c>
      <c r="T13" s="2" t="s">
        <v>208</v>
      </c>
      <c r="U13" s="2" t="s">
        <v>209</v>
      </c>
      <c r="V13" s="2"/>
    </row>
    <row r="14">
      <c r="A14" s="2">
        <v>24</v>
      </c>
      <c r="B14" s="2" t="s">
        <v>41</v>
      </c>
      <c r="C14" s="2" t="s">
        <v>214</v>
      </c>
      <c r="D14" s="2" t="s">
        <v>24</v>
      </c>
      <c r="E14" s="2" t="s">
        <v>25</v>
      </c>
      <c r="F14" s="2" t="s">
        <v>26</v>
      </c>
      <c r="G14" s="2" t="s">
        <v>27</v>
      </c>
      <c r="H14" s="2" t="s">
        <v>28</v>
      </c>
      <c r="I14" s="2" t="s">
        <v>46</v>
      </c>
      <c r="J14" s="2" t="s">
        <v>30</v>
      </c>
      <c r="K14" s="2" t="s">
        <v>48</v>
      </c>
      <c r="L14" s="2" t="s">
        <v>215</v>
      </c>
      <c r="M14" s="2" t="s">
        <v>216</v>
      </c>
      <c r="N14" s="2" t="s">
        <v>217</v>
      </c>
      <c r="O14" s="2" t="s">
        <v>218</v>
      </c>
      <c r="P14" s="2" t="s">
        <v>76</v>
      </c>
      <c r="Q14" s="2" t="s">
        <v>25</v>
      </c>
      <c r="R14" s="2" t="s">
        <v>37</v>
      </c>
      <c r="S14" s="2" t="s">
        <v>194</v>
      </c>
      <c r="T14" s="2" t="s">
        <v>219</v>
      </c>
      <c r="U14" s="2" t="s">
        <v>220</v>
      </c>
      <c r="V14" s="2" t="s">
        <v>81</v>
      </c>
    </row>
    <row r="15">
      <c r="A15" s="2">
        <v>25</v>
      </c>
      <c r="B15" s="2" t="s">
        <v>221</v>
      </c>
      <c r="C15" s="2" t="s">
        <v>222</v>
      </c>
      <c r="D15" s="2" t="s">
        <v>24</v>
      </c>
      <c r="E15" s="2" t="s">
        <v>25</v>
      </c>
      <c r="F15" s="2" t="s">
        <v>26</v>
      </c>
      <c r="G15" s="2" t="s">
        <v>27</v>
      </c>
      <c r="H15" s="2" t="s">
        <v>28</v>
      </c>
      <c r="I15" s="2" t="s">
        <v>29</v>
      </c>
      <c r="J15" s="2" t="s">
        <v>30</v>
      </c>
      <c r="K15" s="2" t="s">
        <v>62</v>
      </c>
      <c r="L15" s="2" t="s">
        <v>223</v>
      </c>
      <c r="M15" s="2" t="s">
        <v>33</v>
      </c>
      <c r="N15" s="2" t="s">
        <v>224</v>
      </c>
      <c r="O15" s="2" t="s">
        <v>33</v>
      </c>
      <c r="P15" s="2" t="s">
        <v>225</v>
      </c>
      <c r="Q15" s="2" t="s">
        <v>25</v>
      </c>
      <c r="R15" s="2" t="s">
        <v>37</v>
      </c>
      <c r="S15" s="2" t="s">
        <v>128</v>
      </c>
      <c r="T15" s="2" t="s">
        <v>226</v>
      </c>
      <c r="U15" s="2" t="s">
        <v>227</v>
      </c>
      <c r="V15" s="2"/>
    </row>
    <row r="16">
      <c r="A16" s="2">
        <v>26</v>
      </c>
      <c r="B16" s="2" t="s">
        <v>82</v>
      </c>
      <c r="C16" s="2" t="s">
        <v>228</v>
      </c>
      <c r="D16" s="2" t="s">
        <v>24</v>
      </c>
      <c r="E16" s="2" t="s">
        <v>25</v>
      </c>
      <c r="F16" s="2" t="s">
        <v>26</v>
      </c>
      <c r="G16" s="2" t="s">
        <v>27</v>
      </c>
      <c r="H16" s="2" t="s">
        <v>28</v>
      </c>
      <c r="I16" s="2" t="s">
        <v>29</v>
      </c>
      <c r="J16" s="2" t="s">
        <v>30</v>
      </c>
      <c r="K16" s="2" t="s">
        <v>104</v>
      </c>
      <c r="L16" s="2" t="s">
        <v>229</v>
      </c>
      <c r="M16" s="2" t="s">
        <v>33</v>
      </c>
      <c r="N16" s="2" t="s">
        <v>86</v>
      </c>
      <c r="O16" s="2" t="s">
        <v>33</v>
      </c>
      <c r="P16" s="2" t="s">
        <v>230</v>
      </c>
      <c r="Q16" s="2" t="s">
        <v>25</v>
      </c>
      <c r="R16" s="2" t="s">
        <v>37</v>
      </c>
      <c r="S16" s="2" t="s">
        <v>231</v>
      </c>
      <c r="T16" s="2" t="s">
        <v>232</v>
      </c>
      <c r="U16" s="2" t="s">
        <v>233</v>
      </c>
      <c r="V16" s="2"/>
    </row>
    <row r="17">
      <c r="A17" s="2">
        <v>28</v>
      </c>
      <c r="B17" s="2" t="s">
        <v>239</v>
      </c>
      <c r="C17" s="2" t="s">
        <v>240</v>
      </c>
      <c r="D17" s="2" t="s">
        <v>24</v>
      </c>
      <c r="E17" s="2" t="s">
        <v>25</v>
      </c>
      <c r="F17" s="2" t="s">
        <v>26</v>
      </c>
      <c r="G17" s="2" t="s">
        <v>27</v>
      </c>
      <c r="H17" s="2" t="s">
        <v>28</v>
      </c>
      <c r="I17" s="2" t="s">
        <v>29</v>
      </c>
      <c r="J17" s="2" t="s">
        <v>30</v>
      </c>
      <c r="K17" s="2" t="s">
        <v>104</v>
      </c>
      <c r="L17" s="2" t="s">
        <v>241</v>
      </c>
      <c r="M17" s="2" t="s">
        <v>242</v>
      </c>
      <c r="N17" s="2" t="s">
        <v>243</v>
      </c>
      <c r="O17" s="2" t="s">
        <v>33</v>
      </c>
      <c r="P17" s="2" t="s">
        <v>244</v>
      </c>
      <c r="Q17" s="2" t="s">
        <v>25</v>
      </c>
      <c r="R17" s="2" t="s">
        <v>37</v>
      </c>
      <c r="S17" s="2" t="s">
        <v>245</v>
      </c>
      <c r="T17" s="2" t="s">
        <v>246</v>
      </c>
      <c r="U17" s="2" t="s">
        <v>247</v>
      </c>
      <c r="V17" s="2"/>
    </row>
    <row r="18">
      <c r="A18" s="2">
        <v>31</v>
      </c>
      <c r="B18" s="2" t="s">
        <v>117</v>
      </c>
      <c r="C18" s="2" t="s">
        <v>256</v>
      </c>
      <c r="D18" s="2" t="s">
        <v>43</v>
      </c>
      <c r="E18" s="2" t="s">
        <v>44</v>
      </c>
      <c r="F18" s="2" t="s">
        <v>26</v>
      </c>
      <c r="G18" s="2" t="s">
        <v>27</v>
      </c>
      <c r="H18" s="2" t="s">
        <v>45</v>
      </c>
      <c r="I18" s="2" t="s">
        <v>46</v>
      </c>
      <c r="J18" s="2" t="s">
        <v>84</v>
      </c>
      <c r="K18" s="2" t="s">
        <v>62</v>
      </c>
      <c r="L18" s="2" t="s">
        <v>257</v>
      </c>
      <c r="M18" s="2" t="s">
        <v>258</v>
      </c>
      <c r="N18" s="2" t="s">
        <v>259</v>
      </c>
      <c r="O18" s="2" t="s">
        <v>33</v>
      </c>
      <c r="P18" s="2" t="s">
        <v>260</v>
      </c>
      <c r="Q18" s="2" t="s">
        <v>25</v>
      </c>
      <c r="R18" s="2" t="s">
        <v>52</v>
      </c>
      <c r="S18" s="2" t="s">
        <v>261</v>
      </c>
      <c r="T18" s="2" t="s">
        <v>262</v>
      </c>
      <c r="U18" s="2" t="s">
        <v>263</v>
      </c>
      <c r="V18" s="2"/>
    </row>
    <row r="19">
      <c r="A19" s="2">
        <v>35</v>
      </c>
      <c r="B19" s="2" t="s">
        <v>117</v>
      </c>
      <c r="C19" s="2" t="s">
        <v>284</v>
      </c>
      <c r="D19" s="2" t="s">
        <v>43</v>
      </c>
      <c r="E19" s="2" t="s">
        <v>44</v>
      </c>
      <c r="F19" s="2" t="s">
        <v>26</v>
      </c>
      <c r="G19" s="2" t="s">
        <v>27</v>
      </c>
      <c r="H19" s="2" t="s">
        <v>28</v>
      </c>
      <c r="I19" s="2" t="s">
        <v>46</v>
      </c>
      <c r="J19" s="2" t="s">
        <v>30</v>
      </c>
      <c r="K19" s="2" t="s">
        <v>48</v>
      </c>
      <c r="L19" s="2" t="s">
        <v>215</v>
      </c>
      <c r="M19" s="2" t="s">
        <v>285</v>
      </c>
      <c r="N19" s="2" t="s">
        <v>217</v>
      </c>
      <c r="O19" s="2" t="s">
        <v>218</v>
      </c>
      <c r="P19" s="2" t="s">
        <v>286</v>
      </c>
      <c r="Q19" s="2" t="s">
        <v>25</v>
      </c>
      <c r="R19" s="2" t="s">
        <v>37</v>
      </c>
      <c r="S19" s="2" t="s">
        <v>287</v>
      </c>
      <c r="T19" s="2" t="s">
        <v>288</v>
      </c>
      <c r="U19" s="2" t="s">
        <v>289</v>
      </c>
      <c r="V19" s="2"/>
    </row>
    <row r="20">
      <c r="A20" s="2">
        <v>40</v>
      </c>
      <c r="B20" s="2" t="s">
        <v>56</v>
      </c>
      <c r="C20" s="2" t="s">
        <v>308</v>
      </c>
      <c r="D20" s="2" t="s">
        <v>43</v>
      </c>
      <c r="E20" s="2" t="s">
        <v>44</v>
      </c>
      <c r="F20" s="2" t="s">
        <v>26</v>
      </c>
      <c r="G20" s="2" t="s">
        <v>27</v>
      </c>
      <c r="H20" s="2" t="s">
        <v>45</v>
      </c>
      <c r="I20" s="2" t="s">
        <v>46</v>
      </c>
      <c r="J20" s="2" t="s">
        <v>112</v>
      </c>
      <c r="K20" s="2" t="s">
        <v>161</v>
      </c>
      <c r="L20" s="2" t="s">
        <v>33</v>
      </c>
      <c r="M20" s="2" t="s">
        <v>309</v>
      </c>
      <c r="N20" s="2" t="s">
        <v>34</v>
      </c>
      <c r="O20" s="2" t="s">
        <v>33</v>
      </c>
      <c r="P20" s="2" t="s">
        <v>76</v>
      </c>
      <c r="Q20" s="2" t="s">
        <v>25</v>
      </c>
      <c r="R20" s="2" t="s">
        <v>52</v>
      </c>
      <c r="S20" s="2" t="s">
        <v>310</v>
      </c>
      <c r="T20" s="2" t="s">
        <v>311</v>
      </c>
      <c r="U20" s="2" t="s">
        <v>312</v>
      </c>
      <c r="V20" s="2"/>
    </row>
    <row r="21">
      <c r="A21" s="2">
        <v>44</v>
      </c>
      <c r="B21" s="2" t="s">
        <v>221</v>
      </c>
      <c r="C21" s="2" t="s">
        <v>327</v>
      </c>
      <c r="D21" s="2" t="s">
        <v>24</v>
      </c>
      <c r="E21" s="2" t="s">
        <v>25</v>
      </c>
      <c r="F21" s="2" t="s">
        <v>26</v>
      </c>
      <c r="G21" s="2" t="s">
        <v>27</v>
      </c>
      <c r="H21" s="2" t="s">
        <v>28</v>
      </c>
      <c r="I21" s="2" t="s">
        <v>29</v>
      </c>
      <c r="J21" s="2" t="s">
        <v>30</v>
      </c>
      <c r="K21" s="2" t="s">
        <v>31</v>
      </c>
      <c r="L21" s="2" t="s">
        <v>33</v>
      </c>
      <c r="M21" s="2" t="s">
        <v>49</v>
      </c>
      <c r="N21" s="2" t="s">
        <v>34</v>
      </c>
      <c r="O21" s="2" t="s">
        <v>328</v>
      </c>
      <c r="P21" s="2" t="s">
        <v>76</v>
      </c>
      <c r="Q21" s="2" t="s">
        <v>25</v>
      </c>
      <c r="R21" s="2" t="s">
        <v>37</v>
      </c>
      <c r="S21" s="2" t="s">
        <v>281</v>
      </c>
      <c r="T21" s="2" t="s">
        <v>329</v>
      </c>
      <c r="U21" s="2" t="s">
        <v>330</v>
      </c>
      <c r="V21" s="2"/>
    </row>
    <row r="22">
      <c r="A22" s="2">
        <v>45</v>
      </c>
      <c r="B22" s="2" t="s">
        <v>41</v>
      </c>
      <c r="C22" s="2" t="s">
        <v>331</v>
      </c>
      <c r="D22" s="2" t="s">
        <v>43</v>
      </c>
      <c r="E22" s="2" t="s">
        <v>44</v>
      </c>
      <c r="F22" s="2" t="s">
        <v>26</v>
      </c>
      <c r="G22" s="2" t="s">
        <v>73</v>
      </c>
      <c r="H22" s="2" t="s">
        <v>45</v>
      </c>
      <c r="I22" s="2" t="s">
        <v>29</v>
      </c>
      <c r="J22" s="2" t="s">
        <v>84</v>
      </c>
      <c r="K22" s="2" t="s">
        <v>62</v>
      </c>
      <c r="L22" s="2" t="s">
        <v>33</v>
      </c>
      <c r="M22" s="2" t="s">
        <v>63</v>
      </c>
      <c r="N22" s="2" t="s">
        <v>34</v>
      </c>
      <c r="O22" s="2" t="s">
        <v>33</v>
      </c>
      <c r="P22" s="2" t="s">
        <v>332</v>
      </c>
      <c r="Q22" s="2" t="s">
        <v>25</v>
      </c>
      <c r="R22" s="2" t="s">
        <v>52</v>
      </c>
      <c r="S22" s="2" t="s">
        <v>333</v>
      </c>
      <c r="T22" s="2" t="s">
        <v>334</v>
      </c>
      <c r="U22" s="2" t="s">
        <v>335</v>
      </c>
      <c r="V22" s="2" t="s">
        <v>145</v>
      </c>
    </row>
    <row r="23">
      <c r="A23" s="2">
        <v>46</v>
      </c>
      <c r="B23" s="2" t="s">
        <v>239</v>
      </c>
      <c r="C23" s="2" t="s">
        <v>336</v>
      </c>
      <c r="D23" s="2" t="s">
        <v>24</v>
      </c>
      <c r="E23" s="2" t="s">
        <v>25</v>
      </c>
      <c r="F23" s="2" t="s">
        <v>26</v>
      </c>
      <c r="G23" s="2" t="s">
        <v>27</v>
      </c>
      <c r="H23" s="2" t="s">
        <v>28</v>
      </c>
      <c r="I23" s="2" t="s">
        <v>29</v>
      </c>
      <c r="J23" s="2" t="s">
        <v>30</v>
      </c>
      <c r="K23" s="2" t="s">
        <v>62</v>
      </c>
      <c r="L23" s="2" t="s">
        <v>337</v>
      </c>
      <c r="M23" s="2" t="s">
        <v>113</v>
      </c>
      <c r="N23" s="2" t="s">
        <v>34</v>
      </c>
      <c r="O23" s="2" t="s">
        <v>338</v>
      </c>
      <c r="P23" s="2" t="s">
        <v>339</v>
      </c>
      <c r="Q23" s="2" t="s">
        <v>25</v>
      </c>
      <c r="R23" s="2" t="s">
        <v>37</v>
      </c>
      <c r="S23" s="2" t="s">
        <v>107</v>
      </c>
      <c r="T23" s="2" t="s">
        <v>340</v>
      </c>
      <c r="U23" s="2" t="s">
        <v>341</v>
      </c>
      <c r="V23" s="2"/>
    </row>
    <row r="24">
      <c r="A24" s="2">
        <v>48</v>
      </c>
      <c r="B24" s="2" t="s">
        <v>110</v>
      </c>
      <c r="C24" s="2" t="s">
        <v>347</v>
      </c>
      <c r="D24" s="2" t="s">
        <v>24</v>
      </c>
      <c r="E24" s="2" t="s">
        <v>25</v>
      </c>
      <c r="F24" s="2" t="s">
        <v>26</v>
      </c>
      <c r="G24" s="2" t="s">
        <v>27</v>
      </c>
      <c r="H24" s="2" t="s">
        <v>28</v>
      </c>
      <c r="I24" s="2" t="s">
        <v>29</v>
      </c>
      <c r="J24" s="2" t="s">
        <v>98</v>
      </c>
      <c r="K24" s="2" t="s">
        <v>161</v>
      </c>
      <c r="L24" s="2" t="s">
        <v>348</v>
      </c>
      <c r="M24" s="2" t="s">
        <v>113</v>
      </c>
      <c r="N24" s="2" t="s">
        <v>34</v>
      </c>
      <c r="O24" s="2" t="s">
        <v>33</v>
      </c>
      <c r="P24" s="2" t="s">
        <v>349</v>
      </c>
      <c r="Q24" s="2" t="s">
        <v>25</v>
      </c>
      <c r="R24" s="2" t="s">
        <v>37</v>
      </c>
      <c r="S24" s="2" t="s">
        <v>149</v>
      </c>
      <c r="T24" s="2" t="s">
        <v>350</v>
      </c>
      <c r="U24" s="2" t="s">
        <v>351</v>
      </c>
      <c r="V24" s="2" t="s">
        <v>197</v>
      </c>
    </row>
    <row r="25">
      <c r="A25" s="2">
        <v>49</v>
      </c>
      <c r="B25" s="2" t="s">
        <v>41</v>
      </c>
      <c r="C25" s="2" t="s">
        <v>352</v>
      </c>
      <c r="D25" s="2" t="s">
        <v>24</v>
      </c>
      <c r="E25" s="2" t="s">
        <v>25</v>
      </c>
      <c r="F25" s="2" t="s">
        <v>26</v>
      </c>
      <c r="G25" s="2" t="s">
        <v>27</v>
      </c>
      <c r="H25" s="2" t="s">
        <v>28</v>
      </c>
      <c r="I25" s="2" t="s">
        <v>29</v>
      </c>
      <c r="J25" s="2" t="s">
        <v>30</v>
      </c>
      <c r="K25" s="2" t="s">
        <v>104</v>
      </c>
      <c r="L25" s="2" t="s">
        <v>33</v>
      </c>
      <c r="M25" s="2" t="s">
        <v>33</v>
      </c>
      <c r="N25" s="2" t="s">
        <v>353</v>
      </c>
      <c r="O25" s="2" t="s">
        <v>33</v>
      </c>
      <c r="P25" s="2" t="s">
        <v>354</v>
      </c>
      <c r="Q25" s="2" t="s">
        <v>25</v>
      </c>
      <c r="R25" s="2" t="s">
        <v>37</v>
      </c>
      <c r="S25" s="2" t="s">
        <v>78</v>
      </c>
      <c r="T25" s="2" t="s">
        <v>355</v>
      </c>
      <c r="U25" s="2" t="s">
        <v>356</v>
      </c>
      <c r="V25" s="2" t="s">
        <v>81</v>
      </c>
    </row>
    <row r="26">
      <c r="A26" s="2">
        <v>50</v>
      </c>
      <c r="B26" s="2" t="s">
        <v>56</v>
      </c>
      <c r="C26" s="2" t="s">
        <v>357</v>
      </c>
      <c r="D26" s="2" t="s">
        <v>24</v>
      </c>
      <c r="E26" s="2" t="s">
        <v>25</v>
      </c>
      <c r="F26" s="2" t="s">
        <v>26</v>
      </c>
      <c r="G26" s="2" t="s">
        <v>27</v>
      </c>
      <c r="H26" s="2" t="s">
        <v>28</v>
      </c>
      <c r="I26" s="2" t="s">
        <v>29</v>
      </c>
      <c r="J26" s="2" t="s">
        <v>30</v>
      </c>
      <c r="K26" s="2" t="s">
        <v>48</v>
      </c>
      <c r="L26" s="2" t="s">
        <v>33</v>
      </c>
      <c r="M26" s="2" t="s">
        <v>33</v>
      </c>
      <c r="N26" s="2" t="s">
        <v>86</v>
      </c>
      <c r="O26" s="2" t="s">
        <v>33</v>
      </c>
      <c r="P26" s="2" t="s">
        <v>76</v>
      </c>
      <c r="Q26" s="2" t="s">
        <v>25</v>
      </c>
      <c r="R26" s="2" t="s">
        <v>37</v>
      </c>
      <c r="S26" s="2" t="s">
        <v>358</v>
      </c>
      <c r="T26" s="2" t="s">
        <v>359</v>
      </c>
      <c r="U26" s="2" t="s">
        <v>360</v>
      </c>
      <c r="V26" s="2" t="s">
        <v>81</v>
      </c>
    </row>
    <row r="27">
      <c r="A27" s="2">
        <v>52</v>
      </c>
      <c r="B27" s="2" t="s">
        <v>192</v>
      </c>
      <c r="C27" s="2" t="s">
        <v>365</v>
      </c>
      <c r="D27" s="2" t="s">
        <v>24</v>
      </c>
      <c r="E27" s="2" t="s">
        <v>25</v>
      </c>
      <c r="F27" s="2" t="s">
        <v>26</v>
      </c>
      <c r="G27" s="2" t="s">
        <v>27</v>
      </c>
      <c r="H27" s="2" t="s">
        <v>28</v>
      </c>
      <c r="I27" s="2" t="s">
        <v>29</v>
      </c>
      <c r="J27" s="2" t="s">
        <v>30</v>
      </c>
      <c r="K27" s="2" t="s">
        <v>31</v>
      </c>
      <c r="L27" s="2" t="s">
        <v>33</v>
      </c>
      <c r="M27" s="2" t="s">
        <v>366</v>
      </c>
      <c r="N27" s="2" t="s">
        <v>259</v>
      </c>
      <c r="O27" s="2" t="s">
        <v>93</v>
      </c>
      <c r="P27" s="2" t="s">
        <v>76</v>
      </c>
      <c r="Q27" s="2" t="s">
        <v>25</v>
      </c>
      <c r="R27" s="2" t="s">
        <v>37</v>
      </c>
      <c r="S27" s="2" t="s">
        <v>367</v>
      </c>
      <c r="T27" s="2" t="s">
        <v>368</v>
      </c>
      <c r="U27" s="2" t="s">
        <v>369</v>
      </c>
      <c r="V27" s="2"/>
    </row>
    <row r="28">
      <c r="A28" s="2">
        <v>53</v>
      </c>
      <c r="B28" s="2" t="s">
        <v>41</v>
      </c>
      <c r="C28" s="2" t="s">
        <v>370</v>
      </c>
      <c r="D28" s="2" t="s">
        <v>43</v>
      </c>
      <c r="E28" s="2" t="s">
        <v>44</v>
      </c>
      <c r="F28" s="2" t="s">
        <v>26</v>
      </c>
      <c r="G28" s="2" t="s">
        <v>27</v>
      </c>
      <c r="H28" s="2" t="s">
        <v>45</v>
      </c>
      <c r="I28" s="2" t="s">
        <v>29</v>
      </c>
      <c r="J28" s="2" t="s">
        <v>112</v>
      </c>
      <c r="K28" s="2" t="s">
        <v>62</v>
      </c>
      <c r="L28" s="2" t="s">
        <v>371</v>
      </c>
      <c r="M28" s="2" t="s">
        <v>372</v>
      </c>
      <c r="N28" s="2" t="s">
        <v>373</v>
      </c>
      <c r="O28" s="2" t="s">
        <v>218</v>
      </c>
      <c r="P28" s="2" t="s">
        <v>374</v>
      </c>
      <c r="Q28" s="2" t="s">
        <v>25</v>
      </c>
      <c r="R28" s="2" t="s">
        <v>52</v>
      </c>
      <c r="S28" s="2" t="s">
        <v>375</v>
      </c>
      <c r="T28" s="2" t="s">
        <v>376</v>
      </c>
      <c r="U28" s="2" t="s">
        <v>377</v>
      </c>
      <c r="V28" s="2"/>
    </row>
    <row r="29">
      <c r="A29" s="2">
        <v>55</v>
      </c>
      <c r="B29" s="2" t="s">
        <v>41</v>
      </c>
      <c r="C29" s="2" t="s">
        <v>385</v>
      </c>
      <c r="D29" s="2" t="s">
        <v>43</v>
      </c>
      <c r="E29" s="2" t="s">
        <v>44</v>
      </c>
      <c r="F29" s="2" t="s">
        <v>26</v>
      </c>
      <c r="G29" s="2" t="s">
        <v>27</v>
      </c>
      <c r="H29" s="2" t="s">
        <v>45</v>
      </c>
      <c r="I29" s="2" t="s">
        <v>46</v>
      </c>
      <c r="J29" s="2" t="s">
        <v>160</v>
      </c>
      <c r="K29" s="2" t="s">
        <v>48</v>
      </c>
      <c r="L29" s="2" t="s">
        <v>386</v>
      </c>
      <c r="M29" s="2" t="s">
        <v>178</v>
      </c>
      <c r="N29" s="2" t="s">
        <v>387</v>
      </c>
      <c r="O29" s="2" t="s">
        <v>218</v>
      </c>
      <c r="P29" s="2" t="s">
        <v>388</v>
      </c>
      <c r="Q29" s="2" t="s">
        <v>25</v>
      </c>
      <c r="R29" s="2" t="s">
        <v>52</v>
      </c>
      <c r="S29" s="2" t="s">
        <v>67</v>
      </c>
      <c r="T29" s="2" t="s">
        <v>389</v>
      </c>
      <c r="U29" s="2" t="s">
        <v>390</v>
      </c>
      <c r="V29" s="2"/>
    </row>
    <row r="30">
      <c r="A30" s="2">
        <v>57</v>
      </c>
      <c r="B30" s="2" t="s">
        <v>41</v>
      </c>
      <c r="C30" s="2" t="s">
        <v>394</v>
      </c>
      <c r="D30" s="2" t="s">
        <v>24</v>
      </c>
      <c r="E30" s="2" t="s">
        <v>25</v>
      </c>
      <c r="F30" s="2" t="s">
        <v>26</v>
      </c>
      <c r="G30" s="2" t="s">
        <v>27</v>
      </c>
      <c r="H30" s="2" t="s">
        <v>28</v>
      </c>
      <c r="I30" s="2" t="s">
        <v>46</v>
      </c>
      <c r="J30" s="2" t="s">
        <v>30</v>
      </c>
      <c r="K30" s="2" t="s">
        <v>62</v>
      </c>
      <c r="L30" s="2" t="s">
        <v>33</v>
      </c>
      <c r="M30" s="2" t="s">
        <v>395</v>
      </c>
      <c r="N30" s="2" t="s">
        <v>217</v>
      </c>
      <c r="O30" s="2" t="s">
        <v>33</v>
      </c>
      <c r="P30" s="2" t="s">
        <v>396</v>
      </c>
      <c r="Q30" s="2" t="s">
        <v>25</v>
      </c>
      <c r="R30" s="2" t="s">
        <v>37</v>
      </c>
      <c r="S30" s="2" t="s">
        <v>397</v>
      </c>
      <c r="T30" s="2" t="s">
        <v>398</v>
      </c>
      <c r="U30" s="2" t="s">
        <v>399</v>
      </c>
      <c r="V30" s="2"/>
    </row>
    <row r="31">
      <c r="A31" s="2">
        <v>60</v>
      </c>
      <c r="B31" s="2" t="s">
        <v>41</v>
      </c>
      <c r="C31" s="2" t="s">
        <v>412</v>
      </c>
      <c r="D31" s="2" t="s">
        <v>24</v>
      </c>
      <c r="E31" s="2" t="s">
        <v>25</v>
      </c>
      <c r="F31" s="2" t="s">
        <v>26</v>
      </c>
      <c r="G31" s="2" t="s">
        <v>27</v>
      </c>
      <c r="H31" s="2" t="s">
        <v>28</v>
      </c>
      <c r="I31" s="2" t="s">
        <v>46</v>
      </c>
      <c r="J31" s="2" t="s">
        <v>154</v>
      </c>
      <c r="K31" s="2" t="s">
        <v>48</v>
      </c>
      <c r="L31" s="2" t="s">
        <v>33</v>
      </c>
      <c r="M31" s="2" t="s">
        <v>33</v>
      </c>
      <c r="N31" s="2" t="s">
        <v>34</v>
      </c>
      <c r="O31" s="2" t="s">
        <v>33</v>
      </c>
      <c r="P31" s="2" t="s">
        <v>413</v>
      </c>
      <c r="Q31" s="2" t="s">
        <v>25</v>
      </c>
      <c r="R31" s="2" t="s">
        <v>37</v>
      </c>
      <c r="S31" s="2" t="s">
        <v>414</v>
      </c>
      <c r="T31" s="2" t="s">
        <v>415</v>
      </c>
      <c r="U31" s="2" t="s">
        <v>416</v>
      </c>
      <c r="V31" s="2"/>
    </row>
    <row r="32">
      <c r="A32" s="2">
        <v>63</v>
      </c>
      <c r="B32" s="2" t="s">
        <v>22</v>
      </c>
      <c r="C32" s="2" t="s">
        <v>425</v>
      </c>
      <c r="D32" s="2" t="s">
        <v>24</v>
      </c>
      <c r="E32" s="2" t="s">
        <v>25</v>
      </c>
      <c r="F32" s="2" t="s">
        <v>26</v>
      </c>
      <c r="G32" s="2" t="s">
        <v>27</v>
      </c>
      <c r="H32" s="2" t="s">
        <v>28</v>
      </c>
      <c r="I32" s="2" t="s">
        <v>29</v>
      </c>
      <c r="J32" s="2" t="s">
        <v>30</v>
      </c>
      <c r="K32" s="2" t="s">
        <v>31</v>
      </c>
      <c r="L32" s="2" t="s">
        <v>426</v>
      </c>
      <c r="M32" s="2" t="s">
        <v>63</v>
      </c>
      <c r="N32" s="2" t="s">
        <v>86</v>
      </c>
      <c r="O32" s="2" t="s">
        <v>35</v>
      </c>
      <c r="P32" s="2" t="s">
        <v>76</v>
      </c>
      <c r="Q32" s="2" t="s">
        <v>25</v>
      </c>
      <c r="R32" s="2" t="s">
        <v>37</v>
      </c>
      <c r="S32" s="2" t="s">
        <v>135</v>
      </c>
      <c r="T32" s="2" t="s">
        <v>427</v>
      </c>
      <c r="U32" s="2" t="s">
        <v>428</v>
      </c>
      <c r="V32" s="2"/>
    </row>
    <row r="33">
      <c r="A33" s="2">
        <v>66</v>
      </c>
      <c r="B33" s="2" t="s">
        <v>192</v>
      </c>
      <c r="C33" s="2" t="s">
        <v>439</v>
      </c>
      <c r="D33" s="2" t="s">
        <v>24</v>
      </c>
      <c r="E33" s="2" t="s">
        <v>25</v>
      </c>
      <c r="F33" s="2" t="s">
        <v>26</v>
      </c>
      <c r="G33" s="2" t="s">
        <v>27</v>
      </c>
      <c r="H33" s="2" t="s">
        <v>28</v>
      </c>
      <c r="I33" s="2" t="s">
        <v>29</v>
      </c>
      <c r="J33" s="2" t="s">
        <v>30</v>
      </c>
      <c r="K33" s="2" t="s">
        <v>31</v>
      </c>
      <c r="L33" s="2" t="s">
        <v>33</v>
      </c>
      <c r="M33" s="2" t="s">
        <v>366</v>
      </c>
      <c r="N33" s="2" t="s">
        <v>140</v>
      </c>
      <c r="O33" s="2" t="s">
        <v>93</v>
      </c>
      <c r="P33" s="2" t="s">
        <v>440</v>
      </c>
      <c r="Q33" s="2" t="s">
        <v>25</v>
      </c>
      <c r="R33" s="2" t="s">
        <v>37</v>
      </c>
      <c r="S33" s="2" t="s">
        <v>441</v>
      </c>
      <c r="T33" s="2" t="s">
        <v>442</v>
      </c>
      <c r="U33" s="2" t="s">
        <v>443</v>
      </c>
      <c r="V33" s="2" t="s">
        <v>81</v>
      </c>
    </row>
    <row r="34">
      <c r="A34" s="2">
        <v>68</v>
      </c>
      <c r="B34" s="2" t="s">
        <v>41</v>
      </c>
      <c r="C34" s="2" t="s">
        <v>451</v>
      </c>
      <c r="D34" s="2" t="s">
        <v>24</v>
      </c>
      <c r="E34" s="2" t="s">
        <v>25</v>
      </c>
      <c r="F34" s="2" t="s">
        <v>26</v>
      </c>
      <c r="G34" s="2" t="s">
        <v>27</v>
      </c>
      <c r="H34" s="2" t="s">
        <v>28</v>
      </c>
      <c r="I34" s="2" t="s">
        <v>29</v>
      </c>
      <c r="J34" s="2" t="s">
        <v>154</v>
      </c>
      <c r="K34" s="2" t="s">
        <v>104</v>
      </c>
      <c r="L34" s="2" t="s">
        <v>33</v>
      </c>
      <c r="M34" s="2" t="s">
        <v>33</v>
      </c>
      <c r="N34" s="2" t="s">
        <v>452</v>
      </c>
      <c r="O34" s="2" t="s">
        <v>33</v>
      </c>
      <c r="P34" s="2" t="s">
        <v>453</v>
      </c>
      <c r="Q34" s="2" t="s">
        <v>25</v>
      </c>
      <c r="R34" s="2" t="s">
        <v>37</v>
      </c>
      <c r="S34" s="2" t="s">
        <v>454</v>
      </c>
      <c r="T34" s="2" t="s">
        <v>455</v>
      </c>
      <c r="U34" s="2" t="s">
        <v>456</v>
      </c>
      <c r="V34" s="2" t="s">
        <v>191</v>
      </c>
    </row>
    <row r="35">
      <c r="A35" s="2">
        <v>69</v>
      </c>
      <c r="B35" s="2" t="s">
        <v>110</v>
      </c>
      <c r="C35" s="2" t="s">
        <v>457</v>
      </c>
      <c r="D35" s="2" t="s">
        <v>43</v>
      </c>
      <c r="E35" s="2" t="s">
        <v>44</v>
      </c>
      <c r="F35" s="2" t="s">
        <v>26</v>
      </c>
      <c r="G35" s="2" t="s">
        <v>27</v>
      </c>
      <c r="H35" s="2" t="s">
        <v>45</v>
      </c>
      <c r="I35" s="2" t="s">
        <v>46</v>
      </c>
      <c r="J35" s="2" t="s">
        <v>47</v>
      </c>
      <c r="K35" s="2" t="s">
        <v>161</v>
      </c>
      <c r="L35" s="2" t="s">
        <v>458</v>
      </c>
      <c r="M35" s="2" t="s">
        <v>459</v>
      </c>
      <c r="N35" s="2" t="s">
        <v>279</v>
      </c>
      <c r="O35" s="2" t="s">
        <v>33</v>
      </c>
      <c r="P35" s="2" t="s">
        <v>460</v>
      </c>
      <c r="Q35" s="2" t="s">
        <v>25</v>
      </c>
      <c r="R35" s="2" t="s">
        <v>52</v>
      </c>
      <c r="S35" s="2" t="s">
        <v>249</v>
      </c>
      <c r="T35" s="2" t="s">
        <v>461</v>
      </c>
      <c r="U35" s="2" t="s">
        <v>462</v>
      </c>
      <c r="V35" s="2"/>
    </row>
    <row r="36">
      <c r="A36" s="2">
        <v>72</v>
      </c>
      <c r="B36" s="2" t="s">
        <v>239</v>
      </c>
      <c r="C36" s="2" t="s">
        <v>472</v>
      </c>
      <c r="D36" s="2" t="s">
        <v>24</v>
      </c>
      <c r="E36" s="2" t="s">
        <v>25</v>
      </c>
      <c r="F36" s="2" t="s">
        <v>26</v>
      </c>
      <c r="G36" s="2" t="s">
        <v>27</v>
      </c>
      <c r="H36" s="2" t="s">
        <v>28</v>
      </c>
      <c r="I36" s="2" t="s">
        <v>29</v>
      </c>
      <c r="J36" s="2" t="s">
        <v>30</v>
      </c>
      <c r="K36" s="2" t="s">
        <v>161</v>
      </c>
      <c r="L36" s="2" t="s">
        <v>33</v>
      </c>
      <c r="M36" s="2" t="s">
        <v>33</v>
      </c>
      <c r="N36" s="2" t="s">
        <v>34</v>
      </c>
      <c r="O36" s="2" t="s">
        <v>33</v>
      </c>
      <c r="P36" s="2" t="s">
        <v>76</v>
      </c>
      <c r="Q36" s="2" t="s">
        <v>25</v>
      </c>
      <c r="R36" s="2" t="s">
        <v>37</v>
      </c>
      <c r="S36" s="2" t="s">
        <v>473</v>
      </c>
      <c r="T36" s="2" t="s">
        <v>474</v>
      </c>
      <c r="U36" s="2" t="s">
        <v>475</v>
      </c>
      <c r="V36" s="2" t="s">
        <v>81</v>
      </c>
    </row>
    <row r="37">
      <c r="A37" s="2">
        <v>73</v>
      </c>
      <c r="B37" s="2" t="s">
        <v>476</v>
      </c>
      <c r="C37" s="2" t="s">
        <v>477</v>
      </c>
      <c r="D37" s="2" t="s">
        <v>24</v>
      </c>
      <c r="E37" s="2" t="s">
        <v>25</v>
      </c>
      <c r="F37" s="2" t="s">
        <v>26</v>
      </c>
      <c r="G37" s="2" t="s">
        <v>27</v>
      </c>
      <c r="H37" s="2" t="s">
        <v>28</v>
      </c>
      <c r="I37" s="2" t="s">
        <v>29</v>
      </c>
      <c r="J37" s="2" t="s">
        <v>30</v>
      </c>
      <c r="K37" s="2" t="s">
        <v>31</v>
      </c>
      <c r="L37" s="2" t="s">
        <v>33</v>
      </c>
      <c r="M37" s="2" t="s">
        <v>33</v>
      </c>
      <c r="N37" s="2" t="s">
        <v>387</v>
      </c>
      <c r="O37" s="2" t="s">
        <v>33</v>
      </c>
      <c r="P37" s="2" t="s">
        <v>478</v>
      </c>
      <c r="Q37" s="2" t="s">
        <v>25</v>
      </c>
      <c r="R37" s="2" t="s">
        <v>37</v>
      </c>
      <c r="S37" s="2" t="s">
        <v>479</v>
      </c>
      <c r="T37" s="2" t="s">
        <v>480</v>
      </c>
      <c r="U37" s="2" t="s">
        <v>481</v>
      </c>
      <c r="V37" s="2"/>
    </row>
    <row r="38">
      <c r="A38" s="2">
        <v>74</v>
      </c>
      <c r="B38" s="2" t="s">
        <v>82</v>
      </c>
      <c r="C38" s="2" t="s">
        <v>482</v>
      </c>
      <c r="D38" s="2" t="s">
        <v>43</v>
      </c>
      <c r="E38" s="2" t="s">
        <v>44</v>
      </c>
      <c r="F38" s="2" t="s">
        <v>26</v>
      </c>
      <c r="G38" s="2" t="s">
        <v>27</v>
      </c>
      <c r="H38" s="2" t="s">
        <v>45</v>
      </c>
      <c r="I38" s="2" t="s">
        <v>29</v>
      </c>
      <c r="J38" s="2" t="s">
        <v>112</v>
      </c>
      <c r="K38" s="2" t="s">
        <v>104</v>
      </c>
      <c r="L38" s="2" t="s">
        <v>33</v>
      </c>
      <c r="M38" s="2" t="s">
        <v>483</v>
      </c>
      <c r="N38" s="2" t="s">
        <v>64</v>
      </c>
      <c r="O38" s="2" t="s">
        <v>33</v>
      </c>
      <c r="P38" s="2" t="s">
        <v>484</v>
      </c>
      <c r="Q38" s="2" t="s">
        <v>25</v>
      </c>
      <c r="R38" s="2" t="s">
        <v>52</v>
      </c>
      <c r="S38" s="2" t="s">
        <v>172</v>
      </c>
      <c r="T38" s="2" t="s">
        <v>485</v>
      </c>
      <c r="U38" s="2" t="s">
        <v>486</v>
      </c>
      <c r="V38" s="2" t="s">
        <v>81</v>
      </c>
    </row>
    <row r="39">
      <c r="A39" s="2">
        <v>75</v>
      </c>
      <c r="B39" s="2" t="s">
        <v>82</v>
      </c>
      <c r="C39" s="2" t="s">
        <v>487</v>
      </c>
      <c r="D39" s="2" t="s">
        <v>24</v>
      </c>
      <c r="E39" s="2" t="s">
        <v>25</v>
      </c>
      <c r="F39" s="2" t="s">
        <v>26</v>
      </c>
      <c r="G39" s="2" t="s">
        <v>27</v>
      </c>
      <c r="H39" s="2" t="s">
        <v>28</v>
      </c>
      <c r="I39" s="2" t="s">
        <v>46</v>
      </c>
      <c r="J39" s="2" t="s">
        <v>30</v>
      </c>
      <c r="K39" s="2" t="s">
        <v>104</v>
      </c>
      <c r="L39" s="2" t="s">
        <v>33</v>
      </c>
      <c r="M39" s="2" t="s">
        <v>488</v>
      </c>
      <c r="N39" s="2" t="s">
        <v>489</v>
      </c>
      <c r="O39" s="2" t="s">
        <v>33</v>
      </c>
      <c r="P39" s="2" t="s">
        <v>490</v>
      </c>
      <c r="Q39" s="2" t="s">
        <v>25</v>
      </c>
      <c r="R39" s="2" t="s">
        <v>37</v>
      </c>
      <c r="S39" s="2" t="s">
        <v>107</v>
      </c>
      <c r="T39" s="2" t="s">
        <v>491</v>
      </c>
      <c r="U39" s="2" t="s">
        <v>492</v>
      </c>
      <c r="V39" s="2"/>
    </row>
    <row r="40">
      <c r="A40" s="2">
        <v>79</v>
      </c>
      <c r="B40" s="2" t="s">
        <v>82</v>
      </c>
      <c r="C40" s="2" t="s">
        <v>505</v>
      </c>
      <c r="D40" s="2" t="s">
        <v>24</v>
      </c>
      <c r="E40" s="2" t="s">
        <v>25</v>
      </c>
      <c r="F40" s="2" t="s">
        <v>26</v>
      </c>
      <c r="G40" s="2" t="s">
        <v>27</v>
      </c>
      <c r="H40" s="2" t="s">
        <v>28</v>
      </c>
      <c r="I40" s="2" t="s">
        <v>29</v>
      </c>
      <c r="J40" s="2" t="s">
        <v>30</v>
      </c>
      <c r="K40" s="2" t="s">
        <v>104</v>
      </c>
      <c r="L40" s="2" t="s">
        <v>33</v>
      </c>
      <c r="M40" s="2" t="s">
        <v>33</v>
      </c>
      <c r="N40" s="2" t="s">
        <v>34</v>
      </c>
      <c r="O40" s="2" t="s">
        <v>33</v>
      </c>
      <c r="P40" s="2" t="s">
        <v>506</v>
      </c>
      <c r="Q40" s="2" t="s">
        <v>25</v>
      </c>
      <c r="R40" s="2" t="s">
        <v>37</v>
      </c>
      <c r="S40" s="2" t="s">
        <v>107</v>
      </c>
      <c r="T40" s="2" t="s">
        <v>507</v>
      </c>
      <c r="U40" s="2" t="s">
        <v>508</v>
      </c>
      <c r="V40" s="2"/>
    </row>
    <row r="41">
      <c r="A41" s="2">
        <v>83</v>
      </c>
      <c r="B41" s="2" t="s">
        <v>117</v>
      </c>
      <c r="C41" s="2" t="s">
        <v>522</v>
      </c>
      <c r="D41" s="2" t="s">
        <v>24</v>
      </c>
      <c r="E41" s="2" t="s">
        <v>25</v>
      </c>
      <c r="F41" s="2" t="s">
        <v>26</v>
      </c>
      <c r="G41" s="2" t="s">
        <v>27</v>
      </c>
      <c r="H41" s="2" t="s">
        <v>28</v>
      </c>
      <c r="I41" s="2" t="s">
        <v>46</v>
      </c>
      <c r="J41" s="2" t="s">
        <v>30</v>
      </c>
      <c r="K41" s="2" t="s">
        <v>48</v>
      </c>
      <c r="L41" s="2" t="s">
        <v>33</v>
      </c>
      <c r="M41" s="2" t="s">
        <v>488</v>
      </c>
      <c r="N41" s="2" t="s">
        <v>217</v>
      </c>
      <c r="O41" s="2" t="s">
        <v>33</v>
      </c>
      <c r="P41" s="2" t="s">
        <v>523</v>
      </c>
      <c r="Q41" s="2" t="s">
        <v>25</v>
      </c>
      <c r="R41" s="2" t="s">
        <v>37</v>
      </c>
      <c r="S41" s="2" t="s">
        <v>231</v>
      </c>
      <c r="T41" s="2" t="s">
        <v>524</v>
      </c>
      <c r="U41" s="2" t="s">
        <v>525</v>
      </c>
      <c r="V41" s="2"/>
    </row>
    <row r="42">
      <c r="A42" s="2">
        <v>85</v>
      </c>
      <c r="B42" s="2" t="s">
        <v>110</v>
      </c>
      <c r="C42" s="2" t="s">
        <v>532</v>
      </c>
      <c r="D42" s="2" t="s">
        <v>24</v>
      </c>
      <c r="E42" s="2" t="s">
        <v>25</v>
      </c>
      <c r="F42" s="2" t="s">
        <v>26</v>
      </c>
      <c r="G42" s="2" t="s">
        <v>27</v>
      </c>
      <c r="H42" s="2" t="s">
        <v>28</v>
      </c>
      <c r="I42" s="2" t="s">
        <v>46</v>
      </c>
      <c r="J42" s="2" t="s">
        <v>30</v>
      </c>
      <c r="K42" s="2" t="s">
        <v>104</v>
      </c>
      <c r="L42" s="2" t="s">
        <v>533</v>
      </c>
      <c r="M42" s="2" t="s">
        <v>33</v>
      </c>
      <c r="N42" s="2" t="s">
        <v>534</v>
      </c>
      <c r="O42" s="2" t="s">
        <v>35</v>
      </c>
      <c r="P42" s="2" t="s">
        <v>535</v>
      </c>
      <c r="Q42" s="2" t="s">
        <v>25</v>
      </c>
      <c r="R42" s="2" t="s">
        <v>37</v>
      </c>
      <c r="S42" s="2" t="s">
        <v>536</v>
      </c>
      <c r="T42" s="2" t="s">
        <v>537</v>
      </c>
      <c r="U42" s="2" t="s">
        <v>538</v>
      </c>
      <c r="V42" s="2"/>
    </row>
    <row r="43">
      <c r="A43" s="2">
        <v>91</v>
      </c>
      <c r="B43" s="2" t="s">
        <v>117</v>
      </c>
      <c r="C43" s="2" t="s">
        <v>564</v>
      </c>
      <c r="D43" s="2" t="s">
        <v>43</v>
      </c>
      <c r="E43" s="2" t="s">
        <v>44</v>
      </c>
      <c r="F43" s="2" t="s">
        <v>26</v>
      </c>
      <c r="G43" s="2" t="s">
        <v>27</v>
      </c>
      <c r="H43" s="2" t="s">
        <v>28</v>
      </c>
      <c r="I43" s="2" t="s">
        <v>46</v>
      </c>
      <c r="J43" s="2" t="s">
        <v>30</v>
      </c>
      <c r="K43" s="2" t="s">
        <v>104</v>
      </c>
      <c r="L43" s="2" t="s">
        <v>215</v>
      </c>
      <c r="M43" s="2" t="s">
        <v>565</v>
      </c>
      <c r="N43" s="2" t="s">
        <v>566</v>
      </c>
      <c r="O43" s="2" t="s">
        <v>33</v>
      </c>
      <c r="P43" s="2" t="s">
        <v>76</v>
      </c>
      <c r="Q43" s="2" t="s">
        <v>25</v>
      </c>
      <c r="R43" s="2" t="s">
        <v>37</v>
      </c>
      <c r="S43" s="2" t="s">
        <v>567</v>
      </c>
      <c r="T43" s="2" t="s">
        <v>568</v>
      </c>
      <c r="U43" s="2" t="s">
        <v>569</v>
      </c>
      <c r="V43" s="2" t="s">
        <v>145</v>
      </c>
    </row>
    <row r="44">
      <c r="A44" s="2">
        <v>92</v>
      </c>
      <c r="B44" s="2" t="s">
        <v>570</v>
      </c>
      <c r="C44" s="2" t="s">
        <v>571</v>
      </c>
      <c r="D44" s="2" t="s">
        <v>572</v>
      </c>
      <c r="E44" s="2" t="s">
        <v>25</v>
      </c>
      <c r="F44" s="2" t="s">
        <v>26</v>
      </c>
      <c r="G44" s="2" t="s">
        <v>27</v>
      </c>
      <c r="H44" s="2" t="s">
        <v>45</v>
      </c>
      <c r="I44" s="2" t="s">
        <v>29</v>
      </c>
      <c r="J44" s="2" t="s">
        <v>47</v>
      </c>
      <c r="K44" s="2" t="s">
        <v>104</v>
      </c>
      <c r="L44" s="2" t="s">
        <v>573</v>
      </c>
      <c r="M44" s="2" t="s">
        <v>63</v>
      </c>
      <c r="N44" s="2" t="s">
        <v>574</v>
      </c>
      <c r="O44" s="2" t="s">
        <v>35</v>
      </c>
      <c r="P44" s="2" t="s">
        <v>575</v>
      </c>
      <c r="Q44" s="2" t="s">
        <v>25</v>
      </c>
      <c r="R44" s="2" t="s">
        <v>52</v>
      </c>
      <c r="S44" s="2" t="s">
        <v>576</v>
      </c>
      <c r="T44" s="2" t="s">
        <v>577</v>
      </c>
      <c r="U44" s="2" t="s">
        <v>578</v>
      </c>
      <c r="V44" s="2"/>
    </row>
    <row r="45">
      <c r="A45" s="2">
        <v>93</v>
      </c>
      <c r="B45" s="2" t="s">
        <v>239</v>
      </c>
      <c r="C45" s="2" t="s">
        <v>579</v>
      </c>
      <c r="D45" s="2" t="s">
        <v>572</v>
      </c>
      <c r="E45" s="2" t="s">
        <v>25</v>
      </c>
      <c r="F45" s="2" t="s">
        <v>26</v>
      </c>
      <c r="G45" s="2" t="s">
        <v>73</v>
      </c>
      <c r="H45" s="2" t="s">
        <v>45</v>
      </c>
      <c r="I45" s="2" t="s">
        <v>29</v>
      </c>
      <c r="J45" s="2" t="s">
        <v>580</v>
      </c>
      <c r="K45" s="2" t="s">
        <v>62</v>
      </c>
      <c r="L45" s="2" t="s">
        <v>33</v>
      </c>
      <c r="M45" s="2" t="s">
        <v>49</v>
      </c>
      <c r="N45" s="2" t="s">
        <v>581</v>
      </c>
      <c r="O45" s="2" t="s">
        <v>33</v>
      </c>
      <c r="P45" s="2" t="s">
        <v>76</v>
      </c>
      <c r="Q45" s="2" t="s">
        <v>25</v>
      </c>
      <c r="R45" s="2" t="s">
        <v>52</v>
      </c>
      <c r="S45" s="2" t="s">
        <v>582</v>
      </c>
      <c r="T45" s="2" t="s">
        <v>583</v>
      </c>
      <c r="U45" s="2" t="s">
        <v>584</v>
      </c>
      <c r="V45" s="2" t="s">
        <v>197</v>
      </c>
    </row>
    <row r="46">
      <c r="A46" s="2">
        <v>94</v>
      </c>
      <c r="B46" s="2" t="s">
        <v>239</v>
      </c>
      <c r="C46" s="2" t="s">
        <v>585</v>
      </c>
      <c r="D46" s="2" t="s">
        <v>572</v>
      </c>
      <c r="E46" s="2" t="s">
        <v>25</v>
      </c>
      <c r="F46" s="2" t="s">
        <v>26</v>
      </c>
      <c r="G46" s="2" t="s">
        <v>73</v>
      </c>
      <c r="H46" s="2" t="s">
        <v>45</v>
      </c>
      <c r="I46" s="2" t="s">
        <v>46</v>
      </c>
      <c r="J46" s="2" t="s">
        <v>112</v>
      </c>
      <c r="K46" s="2" t="s">
        <v>48</v>
      </c>
      <c r="L46" s="2" t="s">
        <v>139</v>
      </c>
      <c r="M46" s="2" t="s">
        <v>216</v>
      </c>
      <c r="N46" s="2" t="s">
        <v>217</v>
      </c>
      <c r="O46" s="2" t="s">
        <v>33</v>
      </c>
      <c r="P46" s="2" t="s">
        <v>76</v>
      </c>
      <c r="Q46" s="2" t="s">
        <v>25</v>
      </c>
      <c r="R46" s="2" t="s">
        <v>52</v>
      </c>
      <c r="S46" s="2" t="s">
        <v>586</v>
      </c>
      <c r="T46" s="2" t="s">
        <v>587</v>
      </c>
      <c r="U46" s="2" t="s">
        <v>588</v>
      </c>
      <c r="V46" s="2" t="s">
        <v>81</v>
      </c>
    </row>
    <row r="47">
      <c r="A47" s="2">
        <v>95</v>
      </c>
      <c r="B47" s="2" t="s">
        <v>41</v>
      </c>
      <c r="C47" s="2" t="s">
        <v>589</v>
      </c>
      <c r="D47" s="2" t="s">
        <v>572</v>
      </c>
      <c r="E47" s="2" t="s">
        <v>25</v>
      </c>
      <c r="F47" s="2" t="s">
        <v>26</v>
      </c>
      <c r="G47" s="2" t="s">
        <v>27</v>
      </c>
      <c r="H47" s="2" t="s">
        <v>45</v>
      </c>
      <c r="I47" s="2" t="s">
        <v>46</v>
      </c>
      <c r="J47" s="2" t="s">
        <v>84</v>
      </c>
      <c r="K47" s="2" t="s">
        <v>62</v>
      </c>
      <c r="L47" s="2" t="s">
        <v>33</v>
      </c>
      <c r="M47" s="2" t="s">
        <v>590</v>
      </c>
      <c r="N47" s="2" t="s">
        <v>591</v>
      </c>
      <c r="O47" s="2" t="s">
        <v>468</v>
      </c>
      <c r="P47" s="2" t="s">
        <v>592</v>
      </c>
      <c r="Q47" s="2" t="s">
        <v>25</v>
      </c>
      <c r="R47" s="2" t="s">
        <v>52</v>
      </c>
      <c r="S47" s="2" t="s">
        <v>593</v>
      </c>
      <c r="T47" s="2" t="s">
        <v>594</v>
      </c>
      <c r="U47" s="2" t="s">
        <v>595</v>
      </c>
      <c r="V47" s="2" t="s">
        <v>81</v>
      </c>
    </row>
    <row r="48">
      <c r="A48" s="2">
        <v>96</v>
      </c>
      <c r="B48" s="2" t="s">
        <v>22</v>
      </c>
      <c r="C48" s="2" t="s">
        <v>596</v>
      </c>
      <c r="D48" s="2" t="s">
        <v>572</v>
      </c>
      <c r="E48" s="2" t="s">
        <v>25</v>
      </c>
      <c r="F48" s="2" t="s">
        <v>26</v>
      </c>
      <c r="G48" s="2" t="s">
        <v>73</v>
      </c>
      <c r="H48" s="2" t="s">
        <v>45</v>
      </c>
      <c r="I48" s="2" t="s">
        <v>176</v>
      </c>
      <c r="J48" s="2" t="s">
        <v>379</v>
      </c>
      <c r="K48" s="2" t="s">
        <v>161</v>
      </c>
      <c r="L48" s="2" t="s">
        <v>33</v>
      </c>
      <c r="M48" s="2" t="s">
        <v>63</v>
      </c>
      <c r="N48" s="2" t="s">
        <v>34</v>
      </c>
      <c r="O48" s="2" t="s">
        <v>468</v>
      </c>
      <c r="P48" s="2" t="s">
        <v>597</v>
      </c>
      <c r="Q48" s="2" t="s">
        <v>181</v>
      </c>
      <c r="R48" s="2" t="s">
        <v>52</v>
      </c>
      <c r="S48" s="2" t="s">
        <v>598</v>
      </c>
      <c r="T48" s="2" t="s">
        <v>599</v>
      </c>
      <c r="U48" s="2" t="s">
        <v>600</v>
      </c>
      <c r="V48" s="2"/>
    </row>
    <row r="49">
      <c r="A49" s="2">
        <v>97</v>
      </c>
      <c r="B49" s="2" t="s">
        <v>239</v>
      </c>
      <c r="C49" s="2" t="s">
        <v>601</v>
      </c>
      <c r="D49" s="2" t="s">
        <v>572</v>
      </c>
      <c r="E49" s="2" t="s">
        <v>25</v>
      </c>
      <c r="F49" s="2" t="s">
        <v>26</v>
      </c>
      <c r="G49" s="2" t="s">
        <v>73</v>
      </c>
      <c r="H49" s="2" t="s">
        <v>45</v>
      </c>
      <c r="I49" s="2" t="s">
        <v>46</v>
      </c>
      <c r="J49" s="2" t="s">
        <v>84</v>
      </c>
      <c r="K49" s="2" t="s">
        <v>48</v>
      </c>
      <c r="L49" s="2" t="s">
        <v>33</v>
      </c>
      <c r="M49" s="2" t="s">
        <v>49</v>
      </c>
      <c r="N49" s="2" t="s">
        <v>140</v>
      </c>
      <c r="O49" s="2" t="s">
        <v>33</v>
      </c>
      <c r="P49" s="2" t="s">
        <v>76</v>
      </c>
      <c r="Q49" s="2" t="s">
        <v>25</v>
      </c>
      <c r="R49" s="2" t="s">
        <v>52</v>
      </c>
      <c r="S49" s="2" t="s">
        <v>397</v>
      </c>
      <c r="T49" s="2" t="s">
        <v>602</v>
      </c>
      <c r="U49" s="2" t="s">
        <v>603</v>
      </c>
      <c r="V49" s="2"/>
    </row>
    <row r="50">
      <c r="A50" s="2">
        <v>98</v>
      </c>
      <c r="B50" s="2" t="s">
        <v>604</v>
      </c>
      <c r="C50" s="2" t="s">
        <v>605</v>
      </c>
      <c r="D50" s="2" t="s">
        <v>572</v>
      </c>
      <c r="E50" s="2" t="s">
        <v>25</v>
      </c>
      <c r="F50" s="2" t="s">
        <v>26</v>
      </c>
      <c r="G50" s="2" t="s">
        <v>27</v>
      </c>
      <c r="H50" s="2" t="s">
        <v>45</v>
      </c>
      <c r="I50" s="2" t="s">
        <v>29</v>
      </c>
      <c r="J50" s="2" t="s">
        <v>84</v>
      </c>
      <c r="K50" s="2" t="s">
        <v>62</v>
      </c>
      <c r="L50" s="2" t="s">
        <v>33</v>
      </c>
      <c r="M50" s="2" t="s">
        <v>372</v>
      </c>
      <c r="N50" s="2" t="s">
        <v>606</v>
      </c>
      <c r="O50" s="2" t="s">
        <v>607</v>
      </c>
      <c r="P50" s="2" t="s">
        <v>76</v>
      </c>
      <c r="Q50" s="2" t="s">
        <v>25</v>
      </c>
      <c r="R50" s="2" t="s">
        <v>52</v>
      </c>
      <c r="S50" s="2" t="s">
        <v>281</v>
      </c>
      <c r="T50" s="2" t="s">
        <v>608</v>
      </c>
      <c r="U50" s="2" t="s">
        <v>609</v>
      </c>
      <c r="V50" s="2"/>
    </row>
    <row r="51">
      <c r="A51" s="2">
        <v>99</v>
      </c>
      <c r="B51" s="2" t="s">
        <v>131</v>
      </c>
      <c r="C51" s="2" t="s">
        <v>610</v>
      </c>
      <c r="D51" s="2" t="s">
        <v>572</v>
      </c>
      <c r="E51" s="2" t="s">
        <v>25</v>
      </c>
      <c r="F51" s="2" t="s">
        <v>26</v>
      </c>
      <c r="G51" s="2" t="s">
        <v>27</v>
      </c>
      <c r="H51" s="2" t="s">
        <v>45</v>
      </c>
      <c r="I51" s="2" t="s">
        <v>176</v>
      </c>
      <c r="J51" s="2" t="s">
        <v>61</v>
      </c>
      <c r="K51" s="2" t="s">
        <v>161</v>
      </c>
      <c r="L51" s="2" t="s">
        <v>611</v>
      </c>
      <c r="M51" s="2" t="s">
        <v>49</v>
      </c>
      <c r="N51" s="2" t="s">
        <v>612</v>
      </c>
      <c r="O51" s="2" t="s">
        <v>33</v>
      </c>
      <c r="P51" s="2" t="s">
        <v>613</v>
      </c>
      <c r="Q51" s="2" t="s">
        <v>181</v>
      </c>
      <c r="R51" s="2" t="s">
        <v>52</v>
      </c>
      <c r="S51" s="2" t="s">
        <v>479</v>
      </c>
      <c r="T51" s="2" t="s">
        <v>614</v>
      </c>
      <c r="U51" s="2" t="s">
        <v>615</v>
      </c>
      <c r="V51" s="2"/>
    </row>
    <row r="52">
      <c r="A52" s="2">
        <v>101</v>
      </c>
      <c r="B52" s="2" t="s">
        <v>41</v>
      </c>
      <c r="C52" s="2" t="s">
        <v>622</v>
      </c>
      <c r="D52" s="2" t="s">
        <v>572</v>
      </c>
      <c r="E52" s="2" t="s">
        <v>25</v>
      </c>
      <c r="F52" s="2" t="s">
        <v>26</v>
      </c>
      <c r="G52" s="2" t="s">
        <v>27</v>
      </c>
      <c r="H52" s="2" t="s">
        <v>45</v>
      </c>
      <c r="I52" s="2" t="s">
        <v>29</v>
      </c>
      <c r="J52" s="2" t="s">
        <v>112</v>
      </c>
      <c r="K52" s="2" t="s">
        <v>48</v>
      </c>
      <c r="L52" s="2" t="s">
        <v>33</v>
      </c>
      <c r="M52" s="2" t="s">
        <v>544</v>
      </c>
      <c r="N52" s="2" t="s">
        <v>623</v>
      </c>
      <c r="O52" s="2" t="s">
        <v>33</v>
      </c>
      <c r="P52" s="2" t="s">
        <v>624</v>
      </c>
      <c r="Q52" s="2" t="s">
        <v>25</v>
      </c>
      <c r="R52" s="2" t="s">
        <v>52</v>
      </c>
      <c r="S52" s="2" t="s">
        <v>625</v>
      </c>
      <c r="T52" s="2" t="s">
        <v>626</v>
      </c>
      <c r="U52" s="2" t="s">
        <v>627</v>
      </c>
      <c r="V52" s="2" t="s">
        <v>145</v>
      </c>
    </row>
    <row r="53">
      <c r="A53" s="2">
        <v>102</v>
      </c>
      <c r="B53" s="2" t="s">
        <v>117</v>
      </c>
      <c r="C53" s="2" t="s">
        <v>628</v>
      </c>
      <c r="D53" s="2" t="s">
        <v>572</v>
      </c>
      <c r="E53" s="2" t="s">
        <v>25</v>
      </c>
      <c r="F53" s="2" t="s">
        <v>26</v>
      </c>
      <c r="G53" s="2" t="s">
        <v>73</v>
      </c>
      <c r="H53" s="2" t="s">
        <v>45</v>
      </c>
      <c r="I53" s="2" t="s">
        <v>46</v>
      </c>
      <c r="J53" s="2" t="s">
        <v>629</v>
      </c>
      <c r="K53" s="2" t="s">
        <v>161</v>
      </c>
      <c r="L53" s="2" t="s">
        <v>630</v>
      </c>
      <c r="M53" s="2" t="s">
        <v>631</v>
      </c>
      <c r="N53" s="2" t="s">
        <v>632</v>
      </c>
      <c r="O53" s="2" t="s">
        <v>468</v>
      </c>
      <c r="P53" s="2" t="s">
        <v>633</v>
      </c>
      <c r="Q53" s="2" t="s">
        <v>25</v>
      </c>
      <c r="R53" s="2" t="s">
        <v>52</v>
      </c>
      <c r="S53" s="2" t="s">
        <v>634</v>
      </c>
      <c r="T53" s="2" t="s">
        <v>635</v>
      </c>
      <c r="U53" s="2" t="s">
        <v>636</v>
      </c>
      <c r="V53" s="2"/>
    </row>
    <row r="54">
      <c r="A54" s="2">
        <v>103</v>
      </c>
      <c r="B54" s="2" t="s">
        <v>131</v>
      </c>
      <c r="C54" s="2" t="s">
        <v>637</v>
      </c>
      <c r="D54" s="2" t="s">
        <v>572</v>
      </c>
      <c r="E54" s="2" t="s">
        <v>25</v>
      </c>
      <c r="F54" s="2" t="s">
        <v>26</v>
      </c>
      <c r="G54" s="2" t="s">
        <v>27</v>
      </c>
      <c r="H54" s="2" t="s">
        <v>45</v>
      </c>
      <c r="I54" s="2" t="s">
        <v>29</v>
      </c>
      <c r="J54" s="2" t="s">
        <v>84</v>
      </c>
      <c r="K54" s="2" t="s">
        <v>62</v>
      </c>
      <c r="L54" s="2" t="s">
        <v>638</v>
      </c>
      <c r="M54" s="2" t="s">
        <v>63</v>
      </c>
      <c r="N54" s="2" t="s">
        <v>34</v>
      </c>
      <c r="O54" s="2" t="s">
        <v>639</v>
      </c>
      <c r="P54" s="2" t="s">
        <v>76</v>
      </c>
      <c r="Q54" s="2" t="s">
        <v>25</v>
      </c>
      <c r="R54" s="2" t="s">
        <v>52</v>
      </c>
      <c r="S54" s="2" t="s">
        <v>194</v>
      </c>
      <c r="T54" s="2" t="s">
        <v>640</v>
      </c>
      <c r="U54" s="2" t="s">
        <v>641</v>
      </c>
      <c r="V54" s="2"/>
    </row>
    <row r="55">
      <c r="A55" s="2">
        <v>104</v>
      </c>
      <c r="B55" s="2" t="s">
        <v>41</v>
      </c>
      <c r="C55" s="2" t="s">
        <v>642</v>
      </c>
      <c r="D55" s="2" t="s">
        <v>572</v>
      </c>
      <c r="E55" s="2" t="s">
        <v>25</v>
      </c>
      <c r="F55" s="2" t="s">
        <v>26</v>
      </c>
      <c r="G55" s="2" t="s">
        <v>27</v>
      </c>
      <c r="H55" s="2" t="s">
        <v>45</v>
      </c>
      <c r="I55" s="2" t="s">
        <v>29</v>
      </c>
      <c r="J55" s="2" t="s">
        <v>112</v>
      </c>
      <c r="K55" s="2" t="s">
        <v>161</v>
      </c>
      <c r="L55" s="2" t="s">
        <v>33</v>
      </c>
      <c r="M55" s="2" t="s">
        <v>63</v>
      </c>
      <c r="N55" s="2" t="s">
        <v>643</v>
      </c>
      <c r="O55" s="2" t="s">
        <v>33</v>
      </c>
      <c r="P55" s="2" t="s">
        <v>76</v>
      </c>
      <c r="Q55" s="2" t="s">
        <v>25</v>
      </c>
      <c r="R55" s="2" t="s">
        <v>52</v>
      </c>
      <c r="S55" s="2" t="s">
        <v>78</v>
      </c>
      <c r="T55" s="2" t="s">
        <v>644</v>
      </c>
      <c r="U55" s="2" t="s">
        <v>645</v>
      </c>
      <c r="V55" s="2" t="s">
        <v>81</v>
      </c>
    </row>
    <row r="56">
      <c r="A56" s="2">
        <v>105</v>
      </c>
      <c r="B56" s="2" t="s">
        <v>646</v>
      </c>
      <c r="C56" s="2" t="s">
        <v>647</v>
      </c>
      <c r="D56" s="2" t="s">
        <v>572</v>
      </c>
      <c r="E56" s="2" t="s">
        <v>25</v>
      </c>
      <c r="F56" s="2" t="s">
        <v>26</v>
      </c>
      <c r="G56" s="2" t="s">
        <v>73</v>
      </c>
      <c r="H56" s="2" t="s">
        <v>45</v>
      </c>
      <c r="I56" s="2" t="s">
        <v>29</v>
      </c>
      <c r="J56" s="2" t="s">
        <v>160</v>
      </c>
      <c r="K56" s="2" t="s">
        <v>104</v>
      </c>
      <c r="L56" s="2" t="s">
        <v>33</v>
      </c>
      <c r="M56" s="2" t="s">
        <v>648</v>
      </c>
      <c r="N56" s="2" t="s">
        <v>649</v>
      </c>
      <c r="O56" s="2" t="s">
        <v>218</v>
      </c>
      <c r="P56" s="2" t="s">
        <v>650</v>
      </c>
      <c r="Q56" s="2" t="s">
        <v>25</v>
      </c>
      <c r="R56" s="2" t="s">
        <v>52</v>
      </c>
      <c r="S56" s="2" t="s">
        <v>479</v>
      </c>
      <c r="T56" s="2" t="s">
        <v>651</v>
      </c>
      <c r="U56" s="2" t="s">
        <v>652</v>
      </c>
      <c r="V56" s="2" t="s">
        <v>563</v>
      </c>
    </row>
    <row r="57">
      <c r="A57" s="2">
        <v>106</v>
      </c>
      <c r="B57" s="2" t="s">
        <v>56</v>
      </c>
      <c r="C57" s="2" t="s">
        <v>653</v>
      </c>
      <c r="D57" s="2" t="s">
        <v>572</v>
      </c>
      <c r="E57" s="2" t="s">
        <v>25</v>
      </c>
      <c r="F57" s="2" t="s">
        <v>26</v>
      </c>
      <c r="G57" s="2" t="s">
        <v>27</v>
      </c>
      <c r="H57" s="2" t="s">
        <v>45</v>
      </c>
      <c r="I57" s="2" t="s">
        <v>46</v>
      </c>
      <c r="J57" s="2" t="s">
        <v>47</v>
      </c>
      <c r="K57" s="2" t="s">
        <v>62</v>
      </c>
      <c r="L57" s="2" t="s">
        <v>33</v>
      </c>
      <c r="M57" s="2" t="s">
        <v>366</v>
      </c>
      <c r="N57" s="2" t="s">
        <v>566</v>
      </c>
      <c r="O57" s="2" t="s">
        <v>33</v>
      </c>
      <c r="P57" s="2" t="s">
        <v>654</v>
      </c>
      <c r="Q57" s="2" t="s">
        <v>25</v>
      </c>
      <c r="R57" s="2" t="s">
        <v>52</v>
      </c>
      <c r="S57" s="2" t="s">
        <v>655</v>
      </c>
      <c r="T57" s="2" t="s">
        <v>656</v>
      </c>
      <c r="U57" s="2" t="s">
        <v>657</v>
      </c>
      <c r="V57" s="2"/>
    </row>
    <row r="58">
      <c r="A58" s="2">
        <v>107</v>
      </c>
      <c r="B58" s="2" t="s">
        <v>41</v>
      </c>
      <c r="C58" s="2" t="s">
        <v>658</v>
      </c>
      <c r="D58" s="2" t="s">
        <v>572</v>
      </c>
      <c r="E58" s="2" t="s">
        <v>25</v>
      </c>
      <c r="F58" s="2" t="s">
        <v>26</v>
      </c>
      <c r="G58" s="2" t="s">
        <v>73</v>
      </c>
      <c r="H58" s="2" t="s">
        <v>45</v>
      </c>
      <c r="I58" s="2" t="s">
        <v>46</v>
      </c>
      <c r="J58" s="2" t="s">
        <v>112</v>
      </c>
      <c r="K58" s="2" t="s">
        <v>62</v>
      </c>
      <c r="L58" s="2" t="s">
        <v>33</v>
      </c>
      <c r="M58" s="2" t="s">
        <v>659</v>
      </c>
      <c r="N58" s="2" t="s">
        <v>660</v>
      </c>
      <c r="O58" s="2" t="s">
        <v>33</v>
      </c>
      <c r="P58" s="2" t="s">
        <v>661</v>
      </c>
      <c r="Q58" s="2" t="s">
        <v>25</v>
      </c>
      <c r="R58" s="2" t="s">
        <v>52</v>
      </c>
      <c r="S58" s="2" t="s">
        <v>634</v>
      </c>
      <c r="T58" s="2" t="s">
        <v>662</v>
      </c>
      <c r="U58" s="2" t="s">
        <v>663</v>
      </c>
      <c r="V58" s="2"/>
    </row>
    <row r="59">
      <c r="A59" s="2">
        <v>108</v>
      </c>
      <c r="B59" s="2" t="s">
        <v>56</v>
      </c>
      <c r="C59" s="2" t="s">
        <v>664</v>
      </c>
      <c r="D59" s="2" t="s">
        <v>572</v>
      </c>
      <c r="E59" s="2" t="s">
        <v>25</v>
      </c>
      <c r="F59" s="2" t="s">
        <v>26</v>
      </c>
      <c r="G59" s="2" t="s">
        <v>27</v>
      </c>
      <c r="H59" s="2" t="s">
        <v>45</v>
      </c>
      <c r="I59" s="2" t="s">
        <v>46</v>
      </c>
      <c r="J59" s="2" t="s">
        <v>112</v>
      </c>
      <c r="K59" s="2" t="s">
        <v>48</v>
      </c>
      <c r="L59" s="2" t="s">
        <v>33</v>
      </c>
      <c r="M59" s="2" t="s">
        <v>488</v>
      </c>
      <c r="N59" s="2" t="s">
        <v>665</v>
      </c>
      <c r="O59" s="2" t="s">
        <v>93</v>
      </c>
      <c r="P59" s="2" t="s">
        <v>76</v>
      </c>
      <c r="Q59" s="2" t="s">
        <v>25</v>
      </c>
      <c r="R59" s="2" t="s">
        <v>52</v>
      </c>
      <c r="S59" s="2" t="s">
        <v>666</v>
      </c>
      <c r="T59" s="2" t="s">
        <v>667</v>
      </c>
      <c r="U59" s="2" t="s">
        <v>668</v>
      </c>
      <c r="V59" s="2"/>
    </row>
    <row r="60">
      <c r="A60" s="2">
        <v>109</v>
      </c>
      <c r="B60" s="2" t="s">
        <v>117</v>
      </c>
      <c r="C60" s="2" t="s">
        <v>669</v>
      </c>
      <c r="D60" s="2" t="s">
        <v>572</v>
      </c>
      <c r="E60" s="2" t="s">
        <v>25</v>
      </c>
      <c r="F60" s="2" t="s">
        <v>26</v>
      </c>
      <c r="G60" s="2" t="s">
        <v>73</v>
      </c>
      <c r="H60" s="2" t="s">
        <v>45</v>
      </c>
      <c r="I60" s="2" t="s">
        <v>46</v>
      </c>
      <c r="J60" s="2" t="s">
        <v>580</v>
      </c>
      <c r="K60" s="2" t="s">
        <v>48</v>
      </c>
      <c r="L60" s="2" t="s">
        <v>33</v>
      </c>
      <c r="M60" s="2" t="s">
        <v>631</v>
      </c>
      <c r="N60" s="2" t="s">
        <v>670</v>
      </c>
      <c r="O60" s="2" t="s">
        <v>468</v>
      </c>
      <c r="P60" s="2" t="s">
        <v>671</v>
      </c>
      <c r="Q60" s="2" t="s">
        <v>25</v>
      </c>
      <c r="R60" s="2" t="s">
        <v>52</v>
      </c>
      <c r="S60" s="2" t="s">
        <v>672</v>
      </c>
      <c r="T60" s="2" t="s">
        <v>673</v>
      </c>
      <c r="U60" s="2" t="s">
        <v>674</v>
      </c>
      <c r="V60" s="2" t="s">
        <v>81</v>
      </c>
    </row>
    <row r="61">
      <c r="A61" s="2">
        <v>110</v>
      </c>
      <c r="B61" s="2" t="s">
        <v>82</v>
      </c>
      <c r="C61" s="2" t="s">
        <v>675</v>
      </c>
      <c r="D61" s="2" t="s">
        <v>572</v>
      </c>
      <c r="E61" s="2" t="s">
        <v>25</v>
      </c>
      <c r="F61" s="2" t="s">
        <v>26</v>
      </c>
      <c r="G61" s="2" t="s">
        <v>27</v>
      </c>
      <c r="H61" s="2" t="s">
        <v>45</v>
      </c>
      <c r="I61" s="2" t="s">
        <v>46</v>
      </c>
      <c r="J61" s="2" t="s">
        <v>676</v>
      </c>
      <c r="K61" s="2" t="s">
        <v>161</v>
      </c>
      <c r="L61" s="2" t="s">
        <v>33</v>
      </c>
      <c r="M61" s="2" t="s">
        <v>677</v>
      </c>
      <c r="N61" s="2" t="s">
        <v>678</v>
      </c>
      <c r="O61" s="2" t="s">
        <v>205</v>
      </c>
      <c r="P61" s="2" t="s">
        <v>76</v>
      </c>
      <c r="Q61" s="2" t="s">
        <v>25</v>
      </c>
      <c r="R61" s="2" t="s">
        <v>52</v>
      </c>
      <c r="S61" s="2" t="s">
        <v>107</v>
      </c>
      <c r="T61" s="2" t="s">
        <v>679</v>
      </c>
      <c r="U61" s="2" t="s">
        <v>680</v>
      </c>
      <c r="V61" s="2"/>
    </row>
    <row r="62">
      <c r="A62" s="2">
        <v>111</v>
      </c>
      <c r="B62" s="2" t="s">
        <v>56</v>
      </c>
      <c r="C62" s="2" t="s">
        <v>681</v>
      </c>
      <c r="D62" s="2" t="s">
        <v>572</v>
      </c>
      <c r="E62" s="2" t="s">
        <v>25</v>
      </c>
      <c r="F62" s="2" t="s">
        <v>26</v>
      </c>
      <c r="G62" s="2" t="s">
        <v>73</v>
      </c>
      <c r="H62" s="2" t="s">
        <v>45</v>
      </c>
      <c r="I62" s="2" t="s">
        <v>29</v>
      </c>
      <c r="J62" s="2" t="s">
        <v>84</v>
      </c>
      <c r="K62" s="2" t="s">
        <v>48</v>
      </c>
      <c r="L62" s="2" t="s">
        <v>33</v>
      </c>
      <c r="M62" s="2" t="s">
        <v>178</v>
      </c>
      <c r="N62" s="2" t="s">
        <v>34</v>
      </c>
      <c r="O62" s="2" t="s">
        <v>33</v>
      </c>
      <c r="P62" s="2" t="s">
        <v>76</v>
      </c>
      <c r="Q62" s="2" t="s">
        <v>25</v>
      </c>
      <c r="R62" s="2" t="s">
        <v>52</v>
      </c>
      <c r="S62" s="2" t="s">
        <v>135</v>
      </c>
      <c r="T62" s="2" t="s">
        <v>682</v>
      </c>
      <c r="U62" s="2" t="s">
        <v>683</v>
      </c>
      <c r="V62" s="2"/>
    </row>
    <row r="63">
      <c r="A63" s="2">
        <v>112</v>
      </c>
      <c r="B63" s="2" t="s">
        <v>41</v>
      </c>
      <c r="C63" s="2" t="s">
        <v>684</v>
      </c>
      <c r="D63" s="2" t="s">
        <v>572</v>
      </c>
      <c r="E63" s="2" t="s">
        <v>25</v>
      </c>
      <c r="F63" s="2" t="s">
        <v>26</v>
      </c>
      <c r="G63" s="2" t="s">
        <v>27</v>
      </c>
      <c r="H63" s="2" t="s">
        <v>45</v>
      </c>
      <c r="I63" s="2" t="s">
        <v>46</v>
      </c>
      <c r="J63" s="2" t="s">
        <v>47</v>
      </c>
      <c r="K63" s="2" t="s">
        <v>48</v>
      </c>
      <c r="L63" s="2" t="s">
        <v>33</v>
      </c>
      <c r="M63" s="2" t="s">
        <v>565</v>
      </c>
      <c r="N63" s="2" t="s">
        <v>685</v>
      </c>
      <c r="O63" s="2" t="s">
        <v>328</v>
      </c>
      <c r="P63" s="2" t="s">
        <v>686</v>
      </c>
      <c r="Q63" s="2" t="s">
        <v>25</v>
      </c>
      <c r="R63" s="2" t="s">
        <v>52</v>
      </c>
      <c r="S63" s="2" t="s">
        <v>687</v>
      </c>
      <c r="T63" s="2" t="s">
        <v>688</v>
      </c>
      <c r="U63" s="2" t="s">
        <v>689</v>
      </c>
      <c r="V63" s="2"/>
    </row>
    <row r="64">
      <c r="A64" s="2">
        <v>113</v>
      </c>
      <c r="B64" s="2" t="s">
        <v>41</v>
      </c>
      <c r="C64" s="2" t="s">
        <v>690</v>
      </c>
      <c r="D64" s="2" t="s">
        <v>572</v>
      </c>
      <c r="E64" s="2" t="s">
        <v>25</v>
      </c>
      <c r="F64" s="2" t="s">
        <v>26</v>
      </c>
      <c r="G64" s="2" t="s">
        <v>27</v>
      </c>
      <c r="H64" s="2" t="s">
        <v>45</v>
      </c>
      <c r="I64" s="2" t="s">
        <v>46</v>
      </c>
      <c r="J64" s="2" t="s">
        <v>676</v>
      </c>
      <c r="K64" s="2" t="s">
        <v>104</v>
      </c>
      <c r="L64" s="2" t="s">
        <v>33</v>
      </c>
      <c r="M64" s="2" t="s">
        <v>691</v>
      </c>
      <c r="N64" s="2" t="s">
        <v>692</v>
      </c>
      <c r="O64" s="2" t="s">
        <v>468</v>
      </c>
      <c r="P64" s="2" t="s">
        <v>693</v>
      </c>
      <c r="Q64" s="2" t="s">
        <v>25</v>
      </c>
      <c r="R64" s="2" t="s">
        <v>52</v>
      </c>
      <c r="S64" s="2" t="s">
        <v>281</v>
      </c>
      <c r="T64" s="2" t="s">
        <v>694</v>
      </c>
      <c r="U64" s="2" t="s">
        <v>695</v>
      </c>
      <c r="V64" s="2" t="s">
        <v>197</v>
      </c>
    </row>
    <row r="65">
      <c r="A65" s="2">
        <v>115</v>
      </c>
      <c r="B65" s="2" t="s">
        <v>41</v>
      </c>
      <c r="C65" s="2" t="s">
        <v>702</v>
      </c>
      <c r="D65" s="2" t="s">
        <v>572</v>
      </c>
      <c r="E65" s="2" t="s">
        <v>25</v>
      </c>
      <c r="F65" s="2" t="s">
        <v>26</v>
      </c>
      <c r="G65" s="2" t="s">
        <v>27</v>
      </c>
      <c r="H65" s="2" t="s">
        <v>45</v>
      </c>
      <c r="I65" s="2" t="s">
        <v>46</v>
      </c>
      <c r="J65" s="2" t="s">
        <v>84</v>
      </c>
      <c r="K65" s="2" t="s">
        <v>62</v>
      </c>
      <c r="L65" s="2" t="s">
        <v>33</v>
      </c>
      <c r="M65" s="2" t="s">
        <v>285</v>
      </c>
      <c r="N65" s="2" t="s">
        <v>703</v>
      </c>
      <c r="O65" s="2" t="s">
        <v>33</v>
      </c>
      <c r="P65" s="2" t="s">
        <v>704</v>
      </c>
      <c r="Q65" s="2" t="s">
        <v>25</v>
      </c>
      <c r="R65" s="2" t="s">
        <v>52</v>
      </c>
      <c r="S65" s="2" t="s">
        <v>705</v>
      </c>
      <c r="T65" s="2" t="s">
        <v>706</v>
      </c>
      <c r="U65" s="2" t="s">
        <v>707</v>
      </c>
      <c r="V65" s="2"/>
    </row>
    <row r="66">
      <c r="A66" s="2">
        <v>116</v>
      </c>
      <c r="B66" s="2" t="s">
        <v>82</v>
      </c>
      <c r="C66" s="2" t="s">
        <v>708</v>
      </c>
      <c r="D66" s="2" t="s">
        <v>572</v>
      </c>
      <c r="E66" s="2" t="s">
        <v>25</v>
      </c>
      <c r="F66" s="2" t="s">
        <v>26</v>
      </c>
      <c r="G66" s="2" t="s">
        <v>27</v>
      </c>
      <c r="H66" s="2" t="s">
        <v>45</v>
      </c>
      <c r="I66" s="2" t="s">
        <v>29</v>
      </c>
      <c r="J66" s="2" t="s">
        <v>112</v>
      </c>
      <c r="K66" s="2" t="s">
        <v>62</v>
      </c>
      <c r="L66" s="2" t="s">
        <v>139</v>
      </c>
      <c r="M66" s="2" t="s">
        <v>709</v>
      </c>
      <c r="N66" s="2" t="s">
        <v>710</v>
      </c>
      <c r="O66" s="2" t="s">
        <v>33</v>
      </c>
      <c r="P66" s="2" t="s">
        <v>711</v>
      </c>
      <c r="Q66" s="2" t="s">
        <v>25</v>
      </c>
      <c r="R66" s="2" t="s">
        <v>52</v>
      </c>
      <c r="S66" s="2" t="s">
        <v>172</v>
      </c>
      <c r="T66" s="2" t="s">
        <v>712</v>
      </c>
      <c r="U66" s="2" t="s">
        <v>713</v>
      </c>
      <c r="V66" s="2" t="s">
        <v>81</v>
      </c>
    </row>
    <row r="67">
      <c r="A67" s="2">
        <v>117</v>
      </c>
      <c r="B67" s="2" t="s">
        <v>110</v>
      </c>
      <c r="C67" s="2" t="s">
        <v>714</v>
      </c>
      <c r="D67" s="2" t="s">
        <v>572</v>
      </c>
      <c r="E67" s="2" t="s">
        <v>25</v>
      </c>
      <c r="F67" s="2" t="s">
        <v>26</v>
      </c>
      <c r="G67" s="2" t="s">
        <v>73</v>
      </c>
      <c r="H67" s="2" t="s">
        <v>45</v>
      </c>
      <c r="I67" s="2" t="s">
        <v>29</v>
      </c>
      <c r="J67" s="2" t="s">
        <v>527</v>
      </c>
      <c r="K67" s="2" t="s">
        <v>104</v>
      </c>
      <c r="L67" s="2" t="s">
        <v>33</v>
      </c>
      <c r="M67" s="2" t="s">
        <v>63</v>
      </c>
      <c r="N67" s="2" t="s">
        <v>715</v>
      </c>
      <c r="O67" s="2" t="s">
        <v>716</v>
      </c>
      <c r="P67" s="2" t="s">
        <v>717</v>
      </c>
      <c r="Q67" s="2" t="s">
        <v>25</v>
      </c>
      <c r="R67" s="2" t="s">
        <v>52</v>
      </c>
      <c r="S67" s="2" t="s">
        <v>718</v>
      </c>
      <c r="T67" s="2" t="s">
        <v>719</v>
      </c>
      <c r="U67" s="2" t="s">
        <v>720</v>
      </c>
      <c r="V67" s="2" t="s">
        <v>81</v>
      </c>
    </row>
    <row r="68">
      <c r="A68" s="2">
        <v>120</v>
      </c>
      <c r="B68" s="2" t="s">
        <v>476</v>
      </c>
      <c r="C68" s="2" t="s">
        <v>733</v>
      </c>
      <c r="D68" s="2" t="s">
        <v>572</v>
      </c>
      <c r="E68" s="2" t="s">
        <v>25</v>
      </c>
      <c r="F68" s="2" t="s">
        <v>26</v>
      </c>
      <c r="G68" s="2" t="s">
        <v>27</v>
      </c>
      <c r="H68" s="2" t="s">
        <v>45</v>
      </c>
      <c r="I68" s="2" t="s">
        <v>29</v>
      </c>
      <c r="J68" s="2" t="s">
        <v>47</v>
      </c>
      <c r="K68" s="2" t="s">
        <v>48</v>
      </c>
      <c r="L68" s="2" t="s">
        <v>33</v>
      </c>
      <c r="M68" s="2" t="s">
        <v>49</v>
      </c>
      <c r="N68" s="2" t="s">
        <v>373</v>
      </c>
      <c r="O68" s="2" t="s">
        <v>93</v>
      </c>
      <c r="P68" s="2" t="s">
        <v>76</v>
      </c>
      <c r="Q68" s="2" t="s">
        <v>25</v>
      </c>
      <c r="R68" s="2" t="s">
        <v>52</v>
      </c>
      <c r="S68" s="2" t="s">
        <v>281</v>
      </c>
      <c r="T68" s="2" t="s">
        <v>734</v>
      </c>
      <c r="U68" s="2" t="s">
        <v>735</v>
      </c>
      <c r="V68" s="2"/>
    </row>
    <row r="69">
      <c r="A69" s="2">
        <v>121</v>
      </c>
      <c r="B69" s="2" t="s">
        <v>117</v>
      </c>
      <c r="C69" s="2" t="s">
        <v>736</v>
      </c>
      <c r="D69" s="2" t="s">
        <v>572</v>
      </c>
      <c r="E69" s="2" t="s">
        <v>25</v>
      </c>
      <c r="F69" s="2" t="s">
        <v>26</v>
      </c>
      <c r="G69" s="2" t="s">
        <v>73</v>
      </c>
      <c r="H69" s="2" t="s">
        <v>45</v>
      </c>
      <c r="I69" s="2" t="s">
        <v>46</v>
      </c>
      <c r="J69" s="2" t="s">
        <v>160</v>
      </c>
      <c r="K69" s="2" t="s">
        <v>62</v>
      </c>
      <c r="L69" s="2" t="s">
        <v>33</v>
      </c>
      <c r="M69" s="2" t="s">
        <v>737</v>
      </c>
      <c r="N69" s="2" t="s">
        <v>738</v>
      </c>
      <c r="O69" s="2" t="s">
        <v>33</v>
      </c>
      <c r="P69" s="2" t="s">
        <v>739</v>
      </c>
      <c r="Q69" s="2" t="s">
        <v>25</v>
      </c>
      <c r="R69" s="2" t="s">
        <v>52</v>
      </c>
      <c r="S69" s="2" t="s">
        <v>740</v>
      </c>
      <c r="T69" s="2" t="s">
        <v>741</v>
      </c>
      <c r="U69" s="2" t="s">
        <v>742</v>
      </c>
      <c r="V69" s="2"/>
    </row>
    <row r="70">
      <c r="A70" s="2">
        <v>122</v>
      </c>
      <c r="B70" s="2" t="s">
        <v>82</v>
      </c>
      <c r="C70" s="2" t="s">
        <v>743</v>
      </c>
      <c r="D70" s="2" t="s">
        <v>572</v>
      </c>
      <c r="E70" s="2" t="s">
        <v>25</v>
      </c>
      <c r="F70" s="2" t="s">
        <v>26</v>
      </c>
      <c r="G70" s="2" t="s">
        <v>73</v>
      </c>
      <c r="H70" s="2" t="s">
        <v>45</v>
      </c>
      <c r="I70" s="2" t="s">
        <v>46</v>
      </c>
      <c r="J70" s="2" t="s">
        <v>676</v>
      </c>
      <c r="K70" s="2" t="s">
        <v>48</v>
      </c>
      <c r="L70" s="2" t="s">
        <v>33</v>
      </c>
      <c r="M70" s="2" t="s">
        <v>258</v>
      </c>
      <c r="N70" s="2" t="s">
        <v>744</v>
      </c>
      <c r="O70" s="2" t="s">
        <v>33</v>
      </c>
      <c r="P70" s="2" t="s">
        <v>745</v>
      </c>
      <c r="Q70" s="2" t="s">
        <v>25</v>
      </c>
      <c r="R70" s="2" t="s">
        <v>52</v>
      </c>
      <c r="S70" s="2" t="s">
        <v>746</v>
      </c>
      <c r="T70" s="2" t="s">
        <v>747</v>
      </c>
      <c r="U70" s="2" t="s">
        <v>748</v>
      </c>
      <c r="V70" s="2" t="s">
        <v>145</v>
      </c>
    </row>
    <row r="71">
      <c r="A71" s="2">
        <v>123</v>
      </c>
      <c r="B71" s="2" t="s">
        <v>192</v>
      </c>
      <c r="C71" s="2" t="s">
        <v>749</v>
      </c>
      <c r="D71" s="2" t="s">
        <v>572</v>
      </c>
      <c r="E71" s="2" t="s">
        <v>25</v>
      </c>
      <c r="F71" s="2" t="s">
        <v>26</v>
      </c>
      <c r="G71" s="2" t="s">
        <v>73</v>
      </c>
      <c r="H71" s="2" t="s">
        <v>45</v>
      </c>
      <c r="I71" s="2" t="s">
        <v>46</v>
      </c>
      <c r="J71" s="2" t="s">
        <v>676</v>
      </c>
      <c r="K71" s="2" t="s">
        <v>62</v>
      </c>
      <c r="L71" s="2" t="s">
        <v>33</v>
      </c>
      <c r="M71" s="2" t="s">
        <v>750</v>
      </c>
      <c r="N71" s="2" t="s">
        <v>751</v>
      </c>
      <c r="O71" s="2" t="s">
        <v>33</v>
      </c>
      <c r="P71" s="2" t="s">
        <v>752</v>
      </c>
      <c r="Q71" s="2" t="s">
        <v>25</v>
      </c>
      <c r="R71" s="2" t="s">
        <v>52</v>
      </c>
      <c r="S71" s="2" t="s">
        <v>753</v>
      </c>
      <c r="T71" s="2" t="s">
        <v>754</v>
      </c>
      <c r="U71" s="2" t="s">
        <v>755</v>
      </c>
      <c r="V71" s="2" t="s">
        <v>563</v>
      </c>
    </row>
    <row r="72">
      <c r="A72" s="2">
        <v>124</v>
      </c>
      <c r="B72" s="2" t="s">
        <v>41</v>
      </c>
      <c r="C72" s="2" t="s">
        <v>756</v>
      </c>
      <c r="D72" s="2" t="s">
        <v>572</v>
      </c>
      <c r="E72" s="2" t="s">
        <v>25</v>
      </c>
      <c r="F72" s="2" t="s">
        <v>26</v>
      </c>
      <c r="G72" s="2" t="s">
        <v>27</v>
      </c>
      <c r="H72" s="2" t="s">
        <v>45</v>
      </c>
      <c r="I72" s="2" t="s">
        <v>46</v>
      </c>
      <c r="J72" s="2" t="s">
        <v>84</v>
      </c>
      <c r="K72" s="2" t="s">
        <v>62</v>
      </c>
      <c r="L72" s="2" t="s">
        <v>33</v>
      </c>
      <c r="M72" s="2" t="s">
        <v>757</v>
      </c>
      <c r="N72" s="2" t="s">
        <v>758</v>
      </c>
      <c r="O72" s="2" t="s">
        <v>93</v>
      </c>
      <c r="P72" s="2" t="s">
        <v>759</v>
      </c>
      <c r="Q72" s="2" t="s">
        <v>25</v>
      </c>
      <c r="R72" s="2" t="s">
        <v>52</v>
      </c>
      <c r="S72" s="2" t="s">
        <v>760</v>
      </c>
      <c r="T72" s="2" t="s">
        <v>761</v>
      </c>
      <c r="U72" s="2" t="s">
        <v>762</v>
      </c>
      <c r="V72" s="2" t="s">
        <v>145</v>
      </c>
    </row>
    <row r="73">
      <c r="A73" s="2">
        <v>125</v>
      </c>
      <c r="B73" s="2" t="s">
        <v>131</v>
      </c>
      <c r="C73" s="2" t="s">
        <v>763</v>
      </c>
      <c r="D73" s="2" t="s">
        <v>572</v>
      </c>
      <c r="E73" s="2" t="s">
        <v>25</v>
      </c>
      <c r="F73" s="2" t="s">
        <v>26</v>
      </c>
      <c r="G73" s="2" t="s">
        <v>73</v>
      </c>
      <c r="H73" s="2" t="s">
        <v>45</v>
      </c>
      <c r="I73" s="2" t="s">
        <v>29</v>
      </c>
      <c r="J73" s="2" t="s">
        <v>112</v>
      </c>
      <c r="K73" s="2" t="s">
        <v>161</v>
      </c>
      <c r="L73" s="2" t="s">
        <v>139</v>
      </c>
      <c r="M73" s="2" t="s">
        <v>750</v>
      </c>
      <c r="N73" s="2" t="s">
        <v>34</v>
      </c>
      <c r="O73" s="2" t="s">
        <v>33</v>
      </c>
      <c r="P73" s="2" t="s">
        <v>76</v>
      </c>
      <c r="Q73" s="2" t="s">
        <v>25</v>
      </c>
      <c r="R73" s="2" t="s">
        <v>52</v>
      </c>
      <c r="S73" s="2" t="s">
        <v>764</v>
      </c>
      <c r="T73" s="2" t="s">
        <v>765</v>
      </c>
      <c r="U73" s="2" t="s">
        <v>766</v>
      </c>
      <c r="V73" s="2"/>
    </row>
    <row r="74">
      <c r="A74" s="2">
        <v>126</v>
      </c>
      <c r="B74" s="2" t="s">
        <v>239</v>
      </c>
      <c r="C74" s="2" t="s">
        <v>767</v>
      </c>
      <c r="D74" s="2" t="s">
        <v>572</v>
      </c>
      <c r="E74" s="2" t="s">
        <v>25</v>
      </c>
      <c r="F74" s="2" t="s">
        <v>26</v>
      </c>
      <c r="G74" s="2" t="s">
        <v>73</v>
      </c>
      <c r="H74" s="2" t="s">
        <v>45</v>
      </c>
      <c r="I74" s="2" t="s">
        <v>46</v>
      </c>
      <c r="J74" s="2" t="s">
        <v>527</v>
      </c>
      <c r="K74" s="2" t="s">
        <v>104</v>
      </c>
      <c r="L74" s="2" t="s">
        <v>33</v>
      </c>
      <c r="M74" s="2" t="s">
        <v>768</v>
      </c>
      <c r="N74" s="2" t="s">
        <v>769</v>
      </c>
      <c r="O74" s="2" t="s">
        <v>33</v>
      </c>
      <c r="P74" s="2" t="s">
        <v>770</v>
      </c>
      <c r="Q74" s="2" t="s">
        <v>25</v>
      </c>
      <c r="R74" s="2" t="s">
        <v>52</v>
      </c>
      <c r="S74" s="2" t="s">
        <v>172</v>
      </c>
      <c r="T74" s="2" t="s">
        <v>771</v>
      </c>
      <c r="U74" s="2" t="s">
        <v>772</v>
      </c>
      <c r="V74" s="2" t="s">
        <v>81</v>
      </c>
    </row>
    <row r="75">
      <c r="A75" s="2">
        <v>129</v>
      </c>
      <c r="B75" s="2" t="s">
        <v>117</v>
      </c>
      <c r="C75" s="2" t="s">
        <v>782</v>
      </c>
      <c r="D75" s="2" t="s">
        <v>572</v>
      </c>
      <c r="E75" s="2" t="s">
        <v>25</v>
      </c>
      <c r="F75" s="2" t="s">
        <v>26</v>
      </c>
      <c r="G75" s="2" t="s">
        <v>73</v>
      </c>
      <c r="H75" s="2" t="s">
        <v>45</v>
      </c>
      <c r="I75" s="2" t="s">
        <v>29</v>
      </c>
      <c r="J75" s="2" t="s">
        <v>84</v>
      </c>
      <c r="K75" s="2" t="s">
        <v>31</v>
      </c>
      <c r="L75" s="2" t="s">
        <v>33</v>
      </c>
      <c r="M75" s="2" t="s">
        <v>783</v>
      </c>
      <c r="N75" s="2" t="s">
        <v>34</v>
      </c>
      <c r="O75" s="2" t="s">
        <v>218</v>
      </c>
      <c r="P75" s="2" t="s">
        <v>784</v>
      </c>
      <c r="Q75" s="2" t="s">
        <v>25</v>
      </c>
      <c r="R75" s="2" t="s">
        <v>52</v>
      </c>
      <c r="S75" s="2" t="s">
        <v>785</v>
      </c>
      <c r="T75" s="2" t="s">
        <v>786</v>
      </c>
      <c r="U75" s="2" t="s">
        <v>787</v>
      </c>
      <c r="V75" s="2" t="s">
        <v>81</v>
      </c>
    </row>
    <row r="76">
      <c r="A76" s="2">
        <v>130</v>
      </c>
      <c r="B76" s="2" t="s">
        <v>41</v>
      </c>
      <c r="C76" s="2" t="s">
        <v>788</v>
      </c>
      <c r="D76" s="2" t="s">
        <v>572</v>
      </c>
      <c r="E76" s="2" t="s">
        <v>25</v>
      </c>
      <c r="F76" s="2" t="s">
        <v>26</v>
      </c>
      <c r="G76" s="2" t="s">
        <v>27</v>
      </c>
      <c r="H76" s="2" t="s">
        <v>45</v>
      </c>
      <c r="I76" s="2" t="s">
        <v>46</v>
      </c>
      <c r="J76" s="2" t="s">
        <v>580</v>
      </c>
      <c r="K76" s="2" t="s">
        <v>104</v>
      </c>
      <c r="L76" s="2" t="s">
        <v>33</v>
      </c>
      <c r="M76" s="2" t="s">
        <v>366</v>
      </c>
      <c r="N76" s="2" t="s">
        <v>566</v>
      </c>
      <c r="O76" s="2" t="s">
        <v>33</v>
      </c>
      <c r="P76" s="2" t="s">
        <v>789</v>
      </c>
      <c r="Q76" s="2" t="s">
        <v>25</v>
      </c>
      <c r="R76" s="2" t="s">
        <v>52</v>
      </c>
      <c r="S76" s="2" t="s">
        <v>422</v>
      </c>
      <c r="T76" s="2" t="s">
        <v>790</v>
      </c>
      <c r="U76" s="2" t="s">
        <v>791</v>
      </c>
      <c r="V76" s="2" t="s">
        <v>81</v>
      </c>
    </row>
    <row r="77">
      <c r="A77" s="2">
        <v>131</v>
      </c>
      <c r="B77" s="2" t="s">
        <v>56</v>
      </c>
      <c r="C77" s="2" t="s">
        <v>792</v>
      </c>
      <c r="D77" s="2" t="s">
        <v>572</v>
      </c>
      <c r="E77" s="2" t="s">
        <v>25</v>
      </c>
      <c r="F77" s="2" t="s">
        <v>26</v>
      </c>
      <c r="G77" s="2" t="s">
        <v>73</v>
      </c>
      <c r="H77" s="2" t="s">
        <v>45</v>
      </c>
      <c r="I77" s="2" t="s">
        <v>46</v>
      </c>
      <c r="J77" s="2" t="s">
        <v>112</v>
      </c>
      <c r="K77" s="2" t="s">
        <v>48</v>
      </c>
      <c r="L77" s="2" t="s">
        <v>139</v>
      </c>
      <c r="M77" s="2" t="s">
        <v>366</v>
      </c>
      <c r="N77" s="2" t="s">
        <v>86</v>
      </c>
      <c r="O77" s="2" t="s">
        <v>33</v>
      </c>
      <c r="P77" s="2" t="s">
        <v>793</v>
      </c>
      <c r="Q77" s="2" t="s">
        <v>25</v>
      </c>
      <c r="R77" s="2" t="s">
        <v>52</v>
      </c>
      <c r="S77" s="2" t="s">
        <v>794</v>
      </c>
      <c r="T77" s="2" t="s">
        <v>795</v>
      </c>
      <c r="U77" s="2" t="s">
        <v>796</v>
      </c>
      <c r="V77" s="2"/>
    </row>
    <row r="78">
      <c r="A78" s="2">
        <v>132</v>
      </c>
      <c r="B78" s="2" t="s">
        <v>131</v>
      </c>
      <c r="C78" s="2" t="s">
        <v>797</v>
      </c>
      <c r="D78" s="2" t="s">
        <v>572</v>
      </c>
      <c r="E78" s="2" t="s">
        <v>25</v>
      </c>
      <c r="F78" s="2" t="s">
        <v>26</v>
      </c>
      <c r="G78" s="2" t="s">
        <v>73</v>
      </c>
      <c r="H78" s="2" t="s">
        <v>45</v>
      </c>
      <c r="I78" s="2" t="s">
        <v>29</v>
      </c>
      <c r="J78" s="2" t="s">
        <v>112</v>
      </c>
      <c r="K78" s="2" t="s">
        <v>48</v>
      </c>
      <c r="L78" s="2" t="s">
        <v>139</v>
      </c>
      <c r="M78" s="2" t="s">
        <v>798</v>
      </c>
      <c r="N78" s="2" t="s">
        <v>799</v>
      </c>
      <c r="O78" s="2" t="s">
        <v>33</v>
      </c>
      <c r="P78" s="2" t="s">
        <v>76</v>
      </c>
      <c r="Q78" s="2" t="s">
        <v>25</v>
      </c>
      <c r="R78" s="2" t="s">
        <v>52</v>
      </c>
      <c r="S78" s="2" t="s">
        <v>67</v>
      </c>
      <c r="T78" s="2" t="s">
        <v>800</v>
      </c>
      <c r="U78" s="2" t="s">
        <v>801</v>
      </c>
      <c r="V78" s="2" t="s">
        <v>563</v>
      </c>
    </row>
    <row r="79">
      <c r="A79" s="2">
        <v>133</v>
      </c>
      <c r="B79" s="2" t="s">
        <v>117</v>
      </c>
      <c r="C79" s="2" t="s">
        <v>802</v>
      </c>
      <c r="D79" s="2" t="s">
        <v>572</v>
      </c>
      <c r="E79" s="2" t="s">
        <v>25</v>
      </c>
      <c r="F79" s="2" t="s">
        <v>26</v>
      </c>
      <c r="G79" s="2" t="s">
        <v>27</v>
      </c>
      <c r="H79" s="2" t="s">
        <v>45</v>
      </c>
      <c r="I79" s="2" t="s">
        <v>29</v>
      </c>
      <c r="J79" s="2" t="s">
        <v>84</v>
      </c>
      <c r="K79" s="2" t="s">
        <v>161</v>
      </c>
      <c r="L79" s="2" t="s">
        <v>33</v>
      </c>
      <c r="M79" s="2" t="s">
        <v>63</v>
      </c>
      <c r="N79" s="2" t="s">
        <v>803</v>
      </c>
      <c r="O79" s="2" t="s">
        <v>33</v>
      </c>
      <c r="P79" s="2" t="s">
        <v>804</v>
      </c>
      <c r="Q79" s="2" t="s">
        <v>25</v>
      </c>
      <c r="R79" s="2" t="s">
        <v>52</v>
      </c>
      <c r="S79" s="2" t="s">
        <v>805</v>
      </c>
      <c r="T79" s="2" t="s">
        <v>806</v>
      </c>
      <c r="U79" s="2" t="s">
        <v>807</v>
      </c>
      <c r="V79" s="2"/>
    </row>
    <row r="80">
      <c r="A80" s="2">
        <v>134</v>
      </c>
      <c r="B80" s="2" t="s">
        <v>70</v>
      </c>
      <c r="C80" s="2" t="s">
        <v>808</v>
      </c>
      <c r="D80" s="2" t="s">
        <v>572</v>
      </c>
      <c r="E80" s="2" t="s">
        <v>25</v>
      </c>
      <c r="F80" s="2" t="s">
        <v>26</v>
      </c>
      <c r="G80" s="2" t="s">
        <v>27</v>
      </c>
      <c r="H80" s="2" t="s">
        <v>45</v>
      </c>
      <c r="I80" s="2" t="s">
        <v>46</v>
      </c>
      <c r="J80" s="2" t="s">
        <v>112</v>
      </c>
      <c r="K80" s="2" t="s">
        <v>104</v>
      </c>
      <c r="L80" s="2" t="s">
        <v>139</v>
      </c>
      <c r="M80" s="2" t="s">
        <v>366</v>
      </c>
      <c r="N80" s="2" t="s">
        <v>809</v>
      </c>
      <c r="O80" s="2" t="s">
        <v>33</v>
      </c>
      <c r="P80" s="2" t="s">
        <v>810</v>
      </c>
      <c r="Q80" s="2" t="s">
        <v>25</v>
      </c>
      <c r="R80" s="2" t="s">
        <v>52</v>
      </c>
      <c r="S80" s="2" t="s">
        <v>142</v>
      </c>
      <c r="T80" s="2" t="s">
        <v>811</v>
      </c>
      <c r="U80" s="2" t="s">
        <v>812</v>
      </c>
      <c r="V80" s="2" t="s">
        <v>81</v>
      </c>
    </row>
    <row r="81">
      <c r="A81" s="2">
        <v>135</v>
      </c>
      <c r="B81" s="2" t="s">
        <v>117</v>
      </c>
      <c r="C81" s="2" t="s">
        <v>813</v>
      </c>
      <c r="D81" s="2" t="s">
        <v>572</v>
      </c>
      <c r="E81" s="2" t="s">
        <v>25</v>
      </c>
      <c r="F81" s="2" t="s">
        <v>26</v>
      </c>
      <c r="G81" s="2" t="s">
        <v>73</v>
      </c>
      <c r="H81" s="2" t="s">
        <v>45</v>
      </c>
      <c r="I81" s="2" t="s">
        <v>29</v>
      </c>
      <c r="J81" s="2" t="s">
        <v>112</v>
      </c>
      <c r="K81" s="2" t="s">
        <v>161</v>
      </c>
      <c r="L81" s="2" t="s">
        <v>139</v>
      </c>
      <c r="M81" s="2" t="s">
        <v>544</v>
      </c>
      <c r="N81" s="2" t="s">
        <v>515</v>
      </c>
      <c r="O81" s="2" t="s">
        <v>33</v>
      </c>
      <c r="P81" s="2" t="s">
        <v>814</v>
      </c>
      <c r="Q81" s="2" t="s">
        <v>25</v>
      </c>
      <c r="R81" s="2" t="s">
        <v>52</v>
      </c>
      <c r="S81" s="2" t="s">
        <v>815</v>
      </c>
      <c r="T81" s="2" t="s">
        <v>816</v>
      </c>
      <c r="U81" s="2" t="s">
        <v>817</v>
      </c>
      <c r="V81" s="2" t="s">
        <v>152</v>
      </c>
    </row>
    <row r="82">
      <c r="A82" s="2">
        <v>136</v>
      </c>
      <c r="B82" s="2" t="s">
        <v>41</v>
      </c>
      <c r="C82" s="2" t="s">
        <v>818</v>
      </c>
      <c r="D82" s="2" t="s">
        <v>572</v>
      </c>
      <c r="E82" s="2" t="s">
        <v>25</v>
      </c>
      <c r="F82" s="2" t="s">
        <v>26</v>
      </c>
      <c r="G82" s="2" t="s">
        <v>73</v>
      </c>
      <c r="H82" s="2" t="s">
        <v>45</v>
      </c>
      <c r="I82" s="2" t="s">
        <v>29</v>
      </c>
      <c r="J82" s="2" t="s">
        <v>61</v>
      </c>
      <c r="K82" s="2" t="s">
        <v>62</v>
      </c>
      <c r="L82" s="2" t="s">
        <v>33</v>
      </c>
      <c r="M82" s="2" t="s">
        <v>819</v>
      </c>
      <c r="N82" s="2" t="s">
        <v>820</v>
      </c>
      <c r="O82" s="2" t="s">
        <v>33</v>
      </c>
      <c r="P82" s="2" t="s">
        <v>76</v>
      </c>
      <c r="Q82" s="2" t="s">
        <v>25</v>
      </c>
      <c r="R82" s="2" t="s">
        <v>52</v>
      </c>
      <c r="S82" s="2" t="s">
        <v>194</v>
      </c>
      <c r="T82" s="2" t="s">
        <v>821</v>
      </c>
      <c r="U82" s="2" t="s">
        <v>822</v>
      </c>
      <c r="V82" s="2" t="s">
        <v>145</v>
      </c>
    </row>
    <row r="83">
      <c r="A83" s="2">
        <v>137</v>
      </c>
      <c r="B83" s="2" t="s">
        <v>56</v>
      </c>
      <c r="C83" s="2" t="s">
        <v>823</v>
      </c>
      <c r="D83" s="2" t="s">
        <v>572</v>
      </c>
      <c r="E83" s="2" t="s">
        <v>25</v>
      </c>
      <c r="F83" s="2" t="s">
        <v>26</v>
      </c>
      <c r="G83" s="2" t="s">
        <v>27</v>
      </c>
      <c r="H83" s="2" t="s">
        <v>45</v>
      </c>
      <c r="I83" s="2" t="s">
        <v>29</v>
      </c>
      <c r="J83" s="2" t="s">
        <v>61</v>
      </c>
      <c r="K83" s="2" t="s">
        <v>48</v>
      </c>
      <c r="L83" s="2" t="s">
        <v>33</v>
      </c>
      <c r="M83" s="2" t="s">
        <v>33</v>
      </c>
      <c r="N83" s="2" t="s">
        <v>34</v>
      </c>
      <c r="O83" s="2" t="s">
        <v>33</v>
      </c>
      <c r="P83" s="2" t="s">
        <v>76</v>
      </c>
      <c r="Q83" s="2" t="s">
        <v>25</v>
      </c>
      <c r="R83" s="2" t="s">
        <v>52</v>
      </c>
      <c r="S83" s="2" t="s">
        <v>149</v>
      </c>
      <c r="T83" s="2" t="s">
        <v>824</v>
      </c>
      <c r="U83" s="2" t="s">
        <v>825</v>
      </c>
      <c r="V83" s="2" t="s">
        <v>191</v>
      </c>
    </row>
    <row r="84">
      <c r="A84" s="2">
        <v>138</v>
      </c>
      <c r="B84" s="2" t="s">
        <v>41</v>
      </c>
      <c r="C84" s="2" t="s">
        <v>826</v>
      </c>
      <c r="D84" s="2" t="s">
        <v>572</v>
      </c>
      <c r="E84" s="2" t="s">
        <v>25</v>
      </c>
      <c r="F84" s="2" t="s">
        <v>26</v>
      </c>
      <c r="G84" s="2" t="s">
        <v>73</v>
      </c>
      <c r="H84" s="2" t="s">
        <v>45</v>
      </c>
      <c r="I84" s="2" t="s">
        <v>29</v>
      </c>
      <c r="J84" s="2" t="s">
        <v>112</v>
      </c>
      <c r="K84" s="2" t="s">
        <v>62</v>
      </c>
      <c r="L84" s="2" t="s">
        <v>827</v>
      </c>
      <c r="M84" s="2" t="s">
        <v>63</v>
      </c>
      <c r="N84" s="2" t="s">
        <v>828</v>
      </c>
      <c r="O84" s="2" t="s">
        <v>33</v>
      </c>
      <c r="P84" s="2" t="s">
        <v>829</v>
      </c>
      <c r="Q84" s="2" t="s">
        <v>25</v>
      </c>
      <c r="R84" s="2" t="s">
        <v>52</v>
      </c>
      <c r="S84" s="2" t="s">
        <v>830</v>
      </c>
      <c r="T84" s="2" t="s">
        <v>831</v>
      </c>
      <c r="U84" s="2" t="s">
        <v>832</v>
      </c>
      <c r="V84" s="2"/>
    </row>
    <row r="85">
      <c r="A85" s="2">
        <v>139</v>
      </c>
      <c r="B85" s="2" t="s">
        <v>41</v>
      </c>
      <c r="C85" s="2" t="s">
        <v>833</v>
      </c>
      <c r="D85" s="2" t="s">
        <v>572</v>
      </c>
      <c r="E85" s="2" t="s">
        <v>25</v>
      </c>
      <c r="F85" s="2" t="s">
        <v>26</v>
      </c>
      <c r="G85" s="2" t="s">
        <v>73</v>
      </c>
      <c r="H85" s="2" t="s">
        <v>45</v>
      </c>
      <c r="I85" s="2" t="s">
        <v>29</v>
      </c>
      <c r="J85" s="2" t="s">
        <v>112</v>
      </c>
      <c r="K85" s="2" t="s">
        <v>48</v>
      </c>
      <c r="L85" s="2" t="s">
        <v>139</v>
      </c>
      <c r="M85" s="2" t="s">
        <v>258</v>
      </c>
      <c r="N85" s="2" t="s">
        <v>834</v>
      </c>
      <c r="O85" s="2" t="s">
        <v>218</v>
      </c>
      <c r="P85" s="2" t="s">
        <v>835</v>
      </c>
      <c r="Q85" s="2" t="s">
        <v>25</v>
      </c>
      <c r="R85" s="2" t="s">
        <v>52</v>
      </c>
      <c r="S85" s="2" t="s">
        <v>836</v>
      </c>
      <c r="T85" s="2" t="s">
        <v>837</v>
      </c>
      <c r="U85" s="2" t="s">
        <v>838</v>
      </c>
      <c r="V85" s="2"/>
    </row>
    <row r="86">
      <c r="A86" s="2">
        <v>140</v>
      </c>
      <c r="B86" s="2" t="s">
        <v>110</v>
      </c>
      <c r="C86" s="2" t="s">
        <v>839</v>
      </c>
      <c r="D86" s="2" t="s">
        <v>572</v>
      </c>
      <c r="E86" s="2" t="s">
        <v>25</v>
      </c>
      <c r="F86" s="2" t="s">
        <v>26</v>
      </c>
      <c r="G86" s="2" t="s">
        <v>73</v>
      </c>
      <c r="H86" s="2" t="s">
        <v>45</v>
      </c>
      <c r="I86" s="2" t="s">
        <v>46</v>
      </c>
      <c r="J86" s="2" t="s">
        <v>580</v>
      </c>
      <c r="K86" s="2" t="s">
        <v>48</v>
      </c>
      <c r="L86" s="2" t="s">
        <v>33</v>
      </c>
      <c r="M86" s="2" t="s">
        <v>366</v>
      </c>
      <c r="N86" s="2" t="s">
        <v>545</v>
      </c>
      <c r="O86" s="2" t="s">
        <v>218</v>
      </c>
      <c r="P86" s="2" t="s">
        <v>840</v>
      </c>
      <c r="Q86" s="2" t="s">
        <v>25</v>
      </c>
      <c r="R86" s="2" t="s">
        <v>52</v>
      </c>
      <c r="S86" s="2" t="s">
        <v>841</v>
      </c>
      <c r="T86" s="2" t="s">
        <v>842</v>
      </c>
      <c r="U86" s="2" t="s">
        <v>843</v>
      </c>
      <c r="V86" s="2"/>
    </row>
    <row r="87">
      <c r="A87" s="2">
        <v>141</v>
      </c>
      <c r="B87" s="2" t="s">
        <v>41</v>
      </c>
      <c r="C87" s="2" t="s">
        <v>844</v>
      </c>
      <c r="D87" s="2" t="s">
        <v>572</v>
      </c>
      <c r="E87" s="2" t="s">
        <v>25</v>
      </c>
      <c r="F87" s="2" t="s">
        <v>26</v>
      </c>
      <c r="G87" s="2" t="s">
        <v>73</v>
      </c>
      <c r="H87" s="2" t="s">
        <v>45</v>
      </c>
      <c r="I87" s="2" t="s">
        <v>176</v>
      </c>
      <c r="J87" s="2" t="s">
        <v>47</v>
      </c>
      <c r="K87" s="2" t="s">
        <v>48</v>
      </c>
      <c r="L87" s="2" t="s">
        <v>33</v>
      </c>
      <c r="M87" s="2" t="s">
        <v>845</v>
      </c>
      <c r="N87" s="2" t="s">
        <v>846</v>
      </c>
      <c r="O87" s="2" t="s">
        <v>218</v>
      </c>
      <c r="P87" s="2" t="s">
        <v>76</v>
      </c>
      <c r="Q87" s="2" t="s">
        <v>181</v>
      </c>
      <c r="R87" s="2" t="s">
        <v>52</v>
      </c>
      <c r="S87" s="2" t="s">
        <v>705</v>
      </c>
      <c r="T87" s="2" t="s">
        <v>847</v>
      </c>
      <c r="U87" s="2" t="s">
        <v>848</v>
      </c>
      <c r="V87" s="2"/>
    </row>
    <row r="88">
      <c r="A88" s="2">
        <v>142</v>
      </c>
      <c r="B88" s="2" t="s">
        <v>117</v>
      </c>
      <c r="C88" s="2" t="s">
        <v>849</v>
      </c>
      <c r="D88" s="2" t="s">
        <v>572</v>
      </c>
      <c r="E88" s="2" t="s">
        <v>25</v>
      </c>
      <c r="F88" s="2" t="s">
        <v>26</v>
      </c>
      <c r="G88" s="2" t="s">
        <v>27</v>
      </c>
      <c r="H88" s="2" t="s">
        <v>45</v>
      </c>
      <c r="I88" s="2" t="s">
        <v>46</v>
      </c>
      <c r="J88" s="2" t="s">
        <v>84</v>
      </c>
      <c r="K88" s="2" t="s">
        <v>161</v>
      </c>
      <c r="L88" s="2" t="s">
        <v>33</v>
      </c>
      <c r="M88" s="2" t="s">
        <v>590</v>
      </c>
      <c r="N88" s="2" t="s">
        <v>489</v>
      </c>
      <c r="O88" s="2" t="s">
        <v>33</v>
      </c>
      <c r="P88" s="2" t="s">
        <v>850</v>
      </c>
      <c r="Q88" s="2" t="s">
        <v>25</v>
      </c>
      <c r="R88" s="2" t="s">
        <v>52</v>
      </c>
      <c r="S88" s="2" t="s">
        <v>851</v>
      </c>
      <c r="T88" s="2" t="s">
        <v>852</v>
      </c>
      <c r="U88" s="2" t="s">
        <v>853</v>
      </c>
      <c r="V88" s="2"/>
    </row>
    <row r="89">
      <c r="A89" s="2">
        <v>143</v>
      </c>
      <c r="B89" s="2" t="s">
        <v>192</v>
      </c>
      <c r="C89" s="2" t="s">
        <v>854</v>
      </c>
      <c r="D89" s="2" t="s">
        <v>572</v>
      </c>
      <c r="E89" s="2" t="s">
        <v>25</v>
      </c>
      <c r="F89" s="2" t="s">
        <v>26</v>
      </c>
      <c r="G89" s="2" t="s">
        <v>73</v>
      </c>
      <c r="H89" s="2" t="s">
        <v>45</v>
      </c>
      <c r="I89" s="2" t="s">
        <v>29</v>
      </c>
      <c r="J89" s="2" t="s">
        <v>580</v>
      </c>
      <c r="K89" s="2" t="s">
        <v>104</v>
      </c>
      <c r="L89" s="2" t="s">
        <v>33</v>
      </c>
      <c r="M89" s="2" t="s">
        <v>855</v>
      </c>
      <c r="N89" s="2" t="s">
        <v>373</v>
      </c>
      <c r="O89" s="2" t="s">
        <v>33</v>
      </c>
      <c r="P89" s="2" t="s">
        <v>856</v>
      </c>
      <c r="Q89" s="2" t="s">
        <v>25</v>
      </c>
      <c r="R89" s="2" t="s">
        <v>52</v>
      </c>
      <c r="S89" s="2" t="s">
        <v>382</v>
      </c>
      <c r="T89" s="2" t="s">
        <v>857</v>
      </c>
      <c r="U89" s="2" t="s">
        <v>858</v>
      </c>
      <c r="V89" s="2" t="s">
        <v>81</v>
      </c>
    </row>
    <row r="90">
      <c r="A90" s="2">
        <v>144</v>
      </c>
      <c r="B90" s="2" t="s">
        <v>117</v>
      </c>
      <c r="C90" s="2" t="s">
        <v>859</v>
      </c>
      <c r="D90" s="2" t="s">
        <v>572</v>
      </c>
      <c r="E90" s="2" t="s">
        <v>25</v>
      </c>
      <c r="F90" s="2" t="s">
        <v>26</v>
      </c>
      <c r="G90" s="2" t="s">
        <v>27</v>
      </c>
      <c r="H90" s="2" t="s">
        <v>45</v>
      </c>
      <c r="I90" s="2" t="s">
        <v>46</v>
      </c>
      <c r="J90" s="2" t="s">
        <v>84</v>
      </c>
      <c r="K90" s="2" t="s">
        <v>48</v>
      </c>
      <c r="L90" s="2" t="s">
        <v>33</v>
      </c>
      <c r="M90" s="2" t="s">
        <v>488</v>
      </c>
      <c r="N90" s="2" t="s">
        <v>217</v>
      </c>
      <c r="O90" s="2" t="s">
        <v>35</v>
      </c>
      <c r="P90" s="2" t="s">
        <v>860</v>
      </c>
      <c r="Q90" s="2" t="s">
        <v>25</v>
      </c>
      <c r="R90" s="2" t="s">
        <v>52</v>
      </c>
      <c r="S90" s="2" t="s">
        <v>107</v>
      </c>
      <c r="T90" s="2" t="s">
        <v>861</v>
      </c>
      <c r="U90" s="2" t="s">
        <v>862</v>
      </c>
      <c r="V90" s="2"/>
    </row>
    <row r="91">
      <c r="A91" s="2">
        <v>145</v>
      </c>
      <c r="B91" s="2" t="s">
        <v>41</v>
      </c>
      <c r="C91" s="2" t="s">
        <v>863</v>
      </c>
      <c r="D91" s="2" t="s">
        <v>572</v>
      </c>
      <c r="E91" s="2" t="s">
        <v>25</v>
      </c>
      <c r="F91" s="2" t="s">
        <v>26</v>
      </c>
      <c r="G91" s="2" t="s">
        <v>27</v>
      </c>
      <c r="H91" s="2" t="s">
        <v>45</v>
      </c>
      <c r="I91" s="2" t="s">
        <v>29</v>
      </c>
      <c r="J91" s="2" t="s">
        <v>112</v>
      </c>
      <c r="K91" s="2" t="s">
        <v>161</v>
      </c>
      <c r="L91" s="2" t="s">
        <v>33</v>
      </c>
      <c r="M91" s="2" t="s">
        <v>768</v>
      </c>
      <c r="N91" s="2" t="s">
        <v>186</v>
      </c>
      <c r="O91" s="2" t="s">
        <v>93</v>
      </c>
      <c r="P91" s="2" t="s">
        <v>864</v>
      </c>
      <c r="Q91" s="2" t="s">
        <v>25</v>
      </c>
      <c r="R91" s="2" t="s">
        <v>52</v>
      </c>
      <c r="S91" s="2" t="s">
        <v>865</v>
      </c>
      <c r="T91" s="2" t="s">
        <v>866</v>
      </c>
      <c r="U91" s="2" t="s">
        <v>867</v>
      </c>
      <c r="V91" s="2" t="s">
        <v>145</v>
      </c>
    </row>
    <row r="92">
      <c r="A92" s="2">
        <v>146</v>
      </c>
      <c r="B92" s="2" t="s">
        <v>110</v>
      </c>
      <c r="C92" s="2" t="s">
        <v>868</v>
      </c>
      <c r="D92" s="2" t="s">
        <v>572</v>
      </c>
      <c r="E92" s="2" t="s">
        <v>25</v>
      </c>
      <c r="F92" s="2" t="s">
        <v>26</v>
      </c>
      <c r="G92" s="2" t="s">
        <v>27</v>
      </c>
      <c r="H92" s="2" t="s">
        <v>45</v>
      </c>
      <c r="I92" s="2" t="s">
        <v>29</v>
      </c>
      <c r="J92" s="2" t="s">
        <v>112</v>
      </c>
      <c r="K92" s="2" t="s">
        <v>48</v>
      </c>
      <c r="L92" s="2" t="s">
        <v>139</v>
      </c>
      <c r="M92" s="2" t="s">
        <v>372</v>
      </c>
      <c r="N92" s="2" t="s">
        <v>515</v>
      </c>
      <c r="O92" s="2" t="s">
        <v>93</v>
      </c>
      <c r="P92" s="2" t="s">
        <v>76</v>
      </c>
      <c r="Q92" s="2" t="s">
        <v>25</v>
      </c>
      <c r="R92" s="2" t="s">
        <v>52</v>
      </c>
      <c r="S92" s="2" t="s">
        <v>422</v>
      </c>
      <c r="T92" s="2" t="s">
        <v>869</v>
      </c>
      <c r="U92" s="2" t="s">
        <v>870</v>
      </c>
      <c r="V92" s="2" t="s">
        <v>81</v>
      </c>
    </row>
    <row r="93">
      <c r="A93" s="2">
        <v>147</v>
      </c>
      <c r="B93" s="2" t="s">
        <v>117</v>
      </c>
      <c r="C93" s="2" t="s">
        <v>871</v>
      </c>
      <c r="D93" s="2" t="s">
        <v>572</v>
      </c>
      <c r="E93" s="2" t="s">
        <v>25</v>
      </c>
      <c r="F93" s="2" t="s">
        <v>26</v>
      </c>
      <c r="G93" s="2" t="s">
        <v>27</v>
      </c>
      <c r="H93" s="2" t="s">
        <v>45</v>
      </c>
      <c r="I93" s="2" t="s">
        <v>29</v>
      </c>
      <c r="J93" s="2" t="s">
        <v>872</v>
      </c>
      <c r="K93" s="2" t="s">
        <v>62</v>
      </c>
      <c r="L93" s="2" t="s">
        <v>638</v>
      </c>
      <c r="M93" s="2" t="s">
        <v>33</v>
      </c>
      <c r="N93" s="2" t="s">
        <v>273</v>
      </c>
      <c r="O93" s="2" t="s">
        <v>35</v>
      </c>
      <c r="P93" s="2" t="s">
        <v>873</v>
      </c>
      <c r="Q93" s="2" t="s">
        <v>25</v>
      </c>
      <c r="R93" s="2" t="s">
        <v>52</v>
      </c>
      <c r="S93" s="2" t="s">
        <v>874</v>
      </c>
      <c r="T93" s="2" t="s">
        <v>875</v>
      </c>
      <c r="U93" s="2" t="s">
        <v>876</v>
      </c>
      <c r="V93" s="2"/>
    </row>
    <row r="94">
      <c r="A94" s="2">
        <v>148</v>
      </c>
      <c r="B94" s="2" t="s">
        <v>117</v>
      </c>
      <c r="C94" s="2" t="s">
        <v>877</v>
      </c>
      <c r="D94" s="2" t="s">
        <v>572</v>
      </c>
      <c r="E94" s="2" t="s">
        <v>25</v>
      </c>
      <c r="F94" s="2" t="s">
        <v>26</v>
      </c>
      <c r="G94" s="2" t="s">
        <v>73</v>
      </c>
      <c r="H94" s="2" t="s">
        <v>45</v>
      </c>
      <c r="I94" s="2" t="s">
        <v>29</v>
      </c>
      <c r="J94" s="2" t="s">
        <v>47</v>
      </c>
      <c r="K94" s="2" t="s">
        <v>62</v>
      </c>
      <c r="L94" s="2" t="s">
        <v>33</v>
      </c>
      <c r="M94" s="2" t="s">
        <v>483</v>
      </c>
      <c r="N94" s="2" t="s">
        <v>878</v>
      </c>
      <c r="O94" s="2" t="s">
        <v>33</v>
      </c>
      <c r="P94" s="2" t="s">
        <v>879</v>
      </c>
      <c r="Q94" s="2" t="s">
        <v>25</v>
      </c>
      <c r="R94" s="2" t="s">
        <v>52</v>
      </c>
      <c r="S94" s="2" t="s">
        <v>67</v>
      </c>
      <c r="T94" s="2" t="s">
        <v>880</v>
      </c>
      <c r="U94" s="2" t="s">
        <v>881</v>
      </c>
      <c r="V94" s="2" t="s">
        <v>191</v>
      </c>
    </row>
    <row r="95">
      <c r="A95" s="2">
        <v>149</v>
      </c>
      <c r="B95" s="2" t="s">
        <v>56</v>
      </c>
      <c r="C95" s="2" t="s">
        <v>882</v>
      </c>
      <c r="D95" s="2" t="s">
        <v>572</v>
      </c>
      <c r="E95" s="2" t="s">
        <v>25</v>
      </c>
      <c r="F95" s="2" t="s">
        <v>26</v>
      </c>
      <c r="G95" s="2" t="s">
        <v>73</v>
      </c>
      <c r="H95" s="2" t="s">
        <v>45</v>
      </c>
      <c r="I95" s="2" t="s">
        <v>29</v>
      </c>
      <c r="J95" s="2" t="s">
        <v>112</v>
      </c>
      <c r="K95" s="2" t="s">
        <v>62</v>
      </c>
      <c r="L95" s="2" t="s">
        <v>638</v>
      </c>
      <c r="M95" s="2" t="s">
        <v>178</v>
      </c>
      <c r="N95" s="2" t="s">
        <v>34</v>
      </c>
      <c r="O95" s="2" t="s">
        <v>33</v>
      </c>
      <c r="P95" s="2" t="s">
        <v>883</v>
      </c>
      <c r="Q95" s="2" t="s">
        <v>25</v>
      </c>
      <c r="R95" s="2" t="s">
        <v>52</v>
      </c>
      <c r="S95" s="2" t="s">
        <v>67</v>
      </c>
      <c r="T95" s="2" t="s">
        <v>884</v>
      </c>
      <c r="U95" s="2" t="s">
        <v>885</v>
      </c>
      <c r="V95" s="2"/>
    </row>
    <row r="96">
      <c r="A96" s="2">
        <v>150</v>
      </c>
      <c r="B96" s="2" t="s">
        <v>117</v>
      </c>
      <c r="C96" s="2" t="s">
        <v>886</v>
      </c>
      <c r="D96" s="2" t="s">
        <v>572</v>
      </c>
      <c r="E96" s="2" t="s">
        <v>25</v>
      </c>
      <c r="F96" s="2" t="s">
        <v>26</v>
      </c>
      <c r="G96" s="2" t="s">
        <v>27</v>
      </c>
      <c r="H96" s="2" t="s">
        <v>45</v>
      </c>
      <c r="I96" s="2" t="s">
        <v>29</v>
      </c>
      <c r="J96" s="2" t="s">
        <v>527</v>
      </c>
      <c r="K96" s="2" t="s">
        <v>104</v>
      </c>
      <c r="L96" s="2" t="s">
        <v>33</v>
      </c>
      <c r="M96" s="2" t="s">
        <v>63</v>
      </c>
      <c r="N96" s="2" t="s">
        <v>887</v>
      </c>
      <c r="O96" s="2" t="s">
        <v>33</v>
      </c>
      <c r="P96" s="2" t="s">
        <v>888</v>
      </c>
      <c r="Q96" s="2" t="s">
        <v>25</v>
      </c>
      <c r="R96" s="2" t="s">
        <v>52</v>
      </c>
      <c r="S96" s="2" t="s">
        <v>889</v>
      </c>
      <c r="T96" s="2" t="s">
        <v>890</v>
      </c>
      <c r="U96" s="2" t="s">
        <v>891</v>
      </c>
      <c r="V96" s="2"/>
    </row>
    <row r="97">
      <c r="A97" s="2">
        <v>151</v>
      </c>
      <c r="B97" s="2" t="s">
        <v>82</v>
      </c>
      <c r="C97" s="2" t="s">
        <v>892</v>
      </c>
      <c r="D97" s="2" t="s">
        <v>572</v>
      </c>
      <c r="E97" s="2" t="s">
        <v>25</v>
      </c>
      <c r="F97" s="2" t="s">
        <v>26</v>
      </c>
      <c r="G97" s="2" t="s">
        <v>73</v>
      </c>
      <c r="H97" s="2" t="s">
        <v>45</v>
      </c>
      <c r="I97" s="2" t="s">
        <v>46</v>
      </c>
      <c r="J97" s="2" t="s">
        <v>271</v>
      </c>
      <c r="K97" s="2" t="s">
        <v>62</v>
      </c>
      <c r="L97" s="2" t="s">
        <v>893</v>
      </c>
      <c r="M97" s="2" t="s">
        <v>63</v>
      </c>
      <c r="N97" s="2" t="s">
        <v>279</v>
      </c>
      <c r="O97" s="2" t="s">
        <v>33</v>
      </c>
      <c r="P97" s="2" t="s">
        <v>76</v>
      </c>
      <c r="Q97" s="2" t="s">
        <v>25</v>
      </c>
      <c r="R97" s="2" t="s">
        <v>52</v>
      </c>
      <c r="S97" s="2" t="s">
        <v>397</v>
      </c>
      <c r="T97" s="2" t="s">
        <v>894</v>
      </c>
      <c r="U97" s="2" t="s">
        <v>895</v>
      </c>
      <c r="V97" s="2"/>
    </row>
    <row r="98">
      <c r="A98" s="2">
        <v>152</v>
      </c>
      <c r="B98" s="2" t="s">
        <v>56</v>
      </c>
      <c r="C98" s="2" t="s">
        <v>896</v>
      </c>
      <c r="D98" s="2" t="s">
        <v>572</v>
      </c>
      <c r="E98" s="2" t="s">
        <v>25</v>
      </c>
      <c r="F98" s="2" t="s">
        <v>26</v>
      </c>
      <c r="G98" s="2" t="s">
        <v>27</v>
      </c>
      <c r="H98" s="2" t="s">
        <v>45</v>
      </c>
      <c r="I98" s="2" t="s">
        <v>46</v>
      </c>
      <c r="J98" s="2" t="s">
        <v>47</v>
      </c>
      <c r="K98" s="2" t="s">
        <v>48</v>
      </c>
      <c r="L98" s="2" t="s">
        <v>897</v>
      </c>
      <c r="M98" s="2" t="s">
        <v>898</v>
      </c>
      <c r="N98" s="2" t="s">
        <v>34</v>
      </c>
      <c r="O98" s="2" t="s">
        <v>33</v>
      </c>
      <c r="P98" s="2" t="s">
        <v>899</v>
      </c>
      <c r="Q98" s="2" t="s">
        <v>25</v>
      </c>
      <c r="R98" s="2" t="s">
        <v>52</v>
      </c>
      <c r="S98" s="2" t="s">
        <v>78</v>
      </c>
      <c r="T98" s="2" t="s">
        <v>900</v>
      </c>
      <c r="U98" s="2" t="s">
        <v>901</v>
      </c>
      <c r="V98" s="2" t="s">
        <v>81</v>
      </c>
    </row>
    <row r="99">
      <c r="A99" s="2">
        <v>153</v>
      </c>
      <c r="B99" s="2" t="s">
        <v>239</v>
      </c>
      <c r="C99" s="2" t="s">
        <v>902</v>
      </c>
      <c r="D99" s="2" t="s">
        <v>572</v>
      </c>
      <c r="E99" s="2" t="s">
        <v>25</v>
      </c>
      <c r="F99" s="2" t="s">
        <v>26</v>
      </c>
      <c r="G99" s="2" t="s">
        <v>27</v>
      </c>
      <c r="H99" s="2" t="s">
        <v>45</v>
      </c>
      <c r="I99" s="2" t="s">
        <v>29</v>
      </c>
      <c r="J99" s="2" t="s">
        <v>112</v>
      </c>
      <c r="K99" s="2" t="s">
        <v>48</v>
      </c>
      <c r="L99" s="2" t="s">
        <v>903</v>
      </c>
      <c r="M99" s="2" t="s">
        <v>63</v>
      </c>
      <c r="N99" s="2" t="s">
        <v>373</v>
      </c>
      <c r="O99" s="2" t="s">
        <v>33</v>
      </c>
      <c r="P99" s="2" t="s">
        <v>76</v>
      </c>
      <c r="Q99" s="2" t="s">
        <v>25</v>
      </c>
      <c r="R99" s="2" t="s">
        <v>52</v>
      </c>
      <c r="S99" s="2" t="s">
        <v>904</v>
      </c>
      <c r="T99" s="2" t="s">
        <v>905</v>
      </c>
      <c r="U99" s="2" t="s">
        <v>906</v>
      </c>
      <c r="V99" s="2" t="s">
        <v>81</v>
      </c>
    </row>
    <row r="100">
      <c r="A100" s="2">
        <v>154</v>
      </c>
      <c r="B100" s="2" t="s">
        <v>117</v>
      </c>
      <c r="C100" s="2" t="s">
        <v>907</v>
      </c>
      <c r="D100" s="2" t="s">
        <v>572</v>
      </c>
      <c r="E100" s="2" t="s">
        <v>25</v>
      </c>
      <c r="F100" s="2" t="s">
        <v>26</v>
      </c>
      <c r="G100" s="2" t="s">
        <v>73</v>
      </c>
      <c r="H100" s="2" t="s">
        <v>45</v>
      </c>
      <c r="I100" s="2" t="s">
        <v>29</v>
      </c>
      <c r="J100" s="2" t="s">
        <v>112</v>
      </c>
      <c r="K100" s="2" t="s">
        <v>62</v>
      </c>
      <c r="L100" s="2" t="s">
        <v>33</v>
      </c>
      <c r="M100" s="2" t="s">
        <v>908</v>
      </c>
      <c r="N100" s="2" t="s">
        <v>126</v>
      </c>
      <c r="O100" s="2" t="s">
        <v>33</v>
      </c>
      <c r="P100" s="2" t="s">
        <v>909</v>
      </c>
      <c r="Q100" s="2" t="s">
        <v>25</v>
      </c>
      <c r="R100" s="2" t="s">
        <v>52</v>
      </c>
      <c r="S100" s="2" t="s">
        <v>910</v>
      </c>
      <c r="T100" s="2" t="s">
        <v>911</v>
      </c>
      <c r="U100" s="2" t="s">
        <v>912</v>
      </c>
      <c r="V100" s="2" t="s">
        <v>81</v>
      </c>
    </row>
    <row r="101">
      <c r="A101" s="2">
        <v>155</v>
      </c>
      <c r="B101" s="2" t="s">
        <v>221</v>
      </c>
      <c r="C101" s="2" t="s">
        <v>913</v>
      </c>
      <c r="D101" s="2" t="s">
        <v>572</v>
      </c>
      <c r="E101" s="2" t="s">
        <v>25</v>
      </c>
      <c r="F101" s="2" t="s">
        <v>26</v>
      </c>
      <c r="G101" s="2" t="s">
        <v>73</v>
      </c>
      <c r="H101" s="2" t="s">
        <v>45</v>
      </c>
      <c r="I101" s="2" t="s">
        <v>46</v>
      </c>
      <c r="J101" s="2" t="s">
        <v>271</v>
      </c>
      <c r="K101" s="2" t="s">
        <v>31</v>
      </c>
      <c r="L101" s="2" t="s">
        <v>33</v>
      </c>
      <c r="M101" s="2" t="s">
        <v>750</v>
      </c>
      <c r="N101" s="2" t="s">
        <v>279</v>
      </c>
      <c r="O101" s="2" t="s">
        <v>33</v>
      </c>
      <c r="P101" s="2" t="s">
        <v>914</v>
      </c>
      <c r="Q101" s="2" t="s">
        <v>25</v>
      </c>
      <c r="R101" s="2" t="s">
        <v>52</v>
      </c>
      <c r="S101" s="2" t="s">
        <v>281</v>
      </c>
      <c r="T101" s="2" t="s">
        <v>915</v>
      </c>
      <c r="U101" s="2" t="s">
        <v>916</v>
      </c>
      <c r="V101" s="2"/>
    </row>
    <row r="102">
      <c r="A102" s="2">
        <v>156</v>
      </c>
      <c r="B102" s="2" t="s">
        <v>117</v>
      </c>
      <c r="C102" s="2" t="s">
        <v>917</v>
      </c>
      <c r="D102" s="2" t="s">
        <v>572</v>
      </c>
      <c r="E102" s="2" t="s">
        <v>25</v>
      </c>
      <c r="F102" s="2" t="s">
        <v>26</v>
      </c>
      <c r="G102" s="2" t="s">
        <v>73</v>
      </c>
      <c r="H102" s="2" t="s">
        <v>45</v>
      </c>
      <c r="I102" s="2" t="s">
        <v>29</v>
      </c>
      <c r="J102" s="2" t="s">
        <v>112</v>
      </c>
      <c r="K102" s="2" t="s">
        <v>104</v>
      </c>
      <c r="L102" s="2" t="s">
        <v>33</v>
      </c>
      <c r="M102" s="2" t="s">
        <v>819</v>
      </c>
      <c r="N102" s="2" t="s">
        <v>34</v>
      </c>
      <c r="O102" s="2" t="s">
        <v>33</v>
      </c>
      <c r="P102" s="2" t="s">
        <v>918</v>
      </c>
      <c r="Q102" s="2" t="s">
        <v>25</v>
      </c>
      <c r="R102" s="2" t="s">
        <v>52</v>
      </c>
      <c r="S102" s="2" t="s">
        <v>919</v>
      </c>
      <c r="T102" s="2" t="s">
        <v>920</v>
      </c>
      <c r="U102" s="2" t="s">
        <v>921</v>
      </c>
      <c r="V102" s="2"/>
    </row>
    <row r="103">
      <c r="A103" s="2">
        <v>157</v>
      </c>
      <c r="B103" s="2" t="s">
        <v>117</v>
      </c>
      <c r="C103" s="2" t="s">
        <v>922</v>
      </c>
      <c r="D103" s="2" t="s">
        <v>572</v>
      </c>
      <c r="E103" s="2" t="s">
        <v>25</v>
      </c>
      <c r="F103" s="2" t="s">
        <v>26</v>
      </c>
      <c r="G103" s="2" t="s">
        <v>27</v>
      </c>
      <c r="H103" s="2" t="s">
        <v>45</v>
      </c>
      <c r="I103" s="2" t="s">
        <v>29</v>
      </c>
      <c r="J103" s="2" t="s">
        <v>112</v>
      </c>
      <c r="K103" s="2" t="s">
        <v>62</v>
      </c>
      <c r="L103" s="2" t="s">
        <v>33</v>
      </c>
      <c r="M103" s="2" t="s">
        <v>178</v>
      </c>
      <c r="N103" s="2" t="s">
        <v>452</v>
      </c>
      <c r="O103" s="2" t="s">
        <v>93</v>
      </c>
      <c r="P103" s="2" t="s">
        <v>923</v>
      </c>
      <c r="Q103" s="2" t="s">
        <v>25</v>
      </c>
      <c r="R103" s="2" t="s">
        <v>52</v>
      </c>
      <c r="S103" s="2" t="s">
        <v>344</v>
      </c>
      <c r="T103" s="2" t="s">
        <v>924</v>
      </c>
      <c r="U103" s="2" t="s">
        <v>925</v>
      </c>
      <c r="V103" s="2"/>
    </row>
    <row r="104">
      <c r="A104" s="2">
        <v>158</v>
      </c>
      <c r="B104" s="2" t="s">
        <v>117</v>
      </c>
      <c r="C104" s="2" t="s">
        <v>926</v>
      </c>
      <c r="D104" s="2" t="s">
        <v>572</v>
      </c>
      <c r="E104" s="2" t="s">
        <v>25</v>
      </c>
      <c r="F104" s="2" t="s">
        <v>26</v>
      </c>
      <c r="G104" s="2" t="s">
        <v>73</v>
      </c>
      <c r="H104" s="2" t="s">
        <v>45</v>
      </c>
      <c r="I104" s="2" t="s">
        <v>29</v>
      </c>
      <c r="J104" s="2" t="s">
        <v>271</v>
      </c>
      <c r="K104" s="2" t="s">
        <v>31</v>
      </c>
      <c r="L104" s="2" t="s">
        <v>33</v>
      </c>
      <c r="M104" s="2" t="s">
        <v>750</v>
      </c>
      <c r="N104" s="2" t="s">
        <v>34</v>
      </c>
      <c r="O104" s="2" t="s">
        <v>33</v>
      </c>
      <c r="P104" s="2" t="s">
        <v>927</v>
      </c>
      <c r="Q104" s="2" t="s">
        <v>25</v>
      </c>
      <c r="R104" s="2" t="s">
        <v>52</v>
      </c>
      <c r="S104" s="2" t="s">
        <v>135</v>
      </c>
      <c r="T104" s="2" t="s">
        <v>928</v>
      </c>
      <c r="U104" s="2" t="s">
        <v>929</v>
      </c>
      <c r="V104" s="2"/>
    </row>
    <row r="105">
      <c r="A105" s="2">
        <v>159</v>
      </c>
      <c r="B105" s="2" t="s">
        <v>221</v>
      </c>
      <c r="C105" s="2" t="s">
        <v>930</v>
      </c>
      <c r="D105" s="2" t="s">
        <v>572</v>
      </c>
      <c r="E105" s="2" t="s">
        <v>25</v>
      </c>
      <c r="F105" s="2" t="s">
        <v>26</v>
      </c>
      <c r="G105" s="2" t="s">
        <v>27</v>
      </c>
      <c r="H105" s="2" t="s">
        <v>45</v>
      </c>
      <c r="I105" s="2" t="s">
        <v>29</v>
      </c>
      <c r="J105" s="2" t="s">
        <v>112</v>
      </c>
      <c r="K105" s="2" t="s">
        <v>31</v>
      </c>
      <c r="L105" s="2" t="s">
        <v>33</v>
      </c>
      <c r="M105" s="2" t="s">
        <v>49</v>
      </c>
      <c r="N105" s="2" t="s">
        <v>931</v>
      </c>
      <c r="O105" s="2" t="s">
        <v>218</v>
      </c>
      <c r="P105" s="2" t="s">
        <v>932</v>
      </c>
      <c r="Q105" s="2" t="s">
        <v>25</v>
      </c>
      <c r="R105" s="2" t="s">
        <v>52</v>
      </c>
      <c r="S105" s="2" t="s">
        <v>165</v>
      </c>
      <c r="T105" s="2" t="s">
        <v>933</v>
      </c>
      <c r="U105" s="2" t="s">
        <v>934</v>
      </c>
      <c r="V105" s="2" t="s">
        <v>81</v>
      </c>
    </row>
    <row r="106">
      <c r="A106" s="2">
        <v>160</v>
      </c>
      <c r="B106" s="2" t="s">
        <v>192</v>
      </c>
      <c r="C106" s="2" t="s">
        <v>935</v>
      </c>
      <c r="D106" s="2" t="s">
        <v>572</v>
      </c>
      <c r="E106" s="2" t="s">
        <v>25</v>
      </c>
      <c r="F106" s="2" t="s">
        <v>26</v>
      </c>
      <c r="G106" s="2" t="s">
        <v>27</v>
      </c>
      <c r="H106" s="2" t="s">
        <v>45</v>
      </c>
      <c r="I106" s="2" t="s">
        <v>46</v>
      </c>
      <c r="J106" s="2" t="s">
        <v>112</v>
      </c>
      <c r="K106" s="2" t="s">
        <v>104</v>
      </c>
      <c r="L106" s="2" t="s">
        <v>936</v>
      </c>
      <c r="M106" s="2" t="s">
        <v>49</v>
      </c>
      <c r="N106" s="2" t="s">
        <v>86</v>
      </c>
      <c r="O106" s="2" t="s">
        <v>328</v>
      </c>
      <c r="P106" s="2" t="s">
        <v>937</v>
      </c>
      <c r="Q106" s="2" t="s">
        <v>25</v>
      </c>
      <c r="R106" s="2" t="s">
        <v>52</v>
      </c>
      <c r="S106" s="2" t="s">
        <v>938</v>
      </c>
      <c r="T106" s="2" t="s">
        <v>939</v>
      </c>
      <c r="U106" s="2" t="s">
        <v>940</v>
      </c>
      <c r="V106" s="2" t="s">
        <v>563</v>
      </c>
    </row>
    <row r="107">
      <c r="A107" s="2">
        <v>161</v>
      </c>
      <c r="B107" s="2" t="s">
        <v>41</v>
      </c>
      <c r="C107" s="2" t="s">
        <v>941</v>
      </c>
      <c r="D107" s="2" t="s">
        <v>572</v>
      </c>
      <c r="E107" s="2" t="s">
        <v>25</v>
      </c>
      <c r="F107" s="2" t="s">
        <v>26</v>
      </c>
      <c r="G107" s="2" t="s">
        <v>27</v>
      </c>
      <c r="H107" s="2" t="s">
        <v>45</v>
      </c>
      <c r="I107" s="2" t="s">
        <v>29</v>
      </c>
      <c r="J107" s="2" t="s">
        <v>160</v>
      </c>
      <c r="K107" s="2" t="s">
        <v>62</v>
      </c>
      <c r="L107" s="2" t="s">
        <v>942</v>
      </c>
      <c r="M107" s="2" t="s">
        <v>943</v>
      </c>
      <c r="N107" s="2" t="s">
        <v>944</v>
      </c>
      <c r="O107" s="2" t="s">
        <v>639</v>
      </c>
      <c r="P107" s="2" t="s">
        <v>945</v>
      </c>
      <c r="Q107" s="2" t="s">
        <v>25</v>
      </c>
      <c r="R107" s="2" t="s">
        <v>52</v>
      </c>
      <c r="S107" s="2" t="s">
        <v>946</v>
      </c>
      <c r="T107" s="2" t="s">
        <v>947</v>
      </c>
      <c r="U107" s="2" t="s">
        <v>948</v>
      </c>
      <c r="V107" s="2"/>
    </row>
    <row r="108">
      <c r="A108" s="2">
        <v>162</v>
      </c>
      <c r="B108" s="2" t="s">
        <v>117</v>
      </c>
      <c r="C108" s="2" t="s">
        <v>949</v>
      </c>
      <c r="D108" s="2" t="s">
        <v>572</v>
      </c>
      <c r="E108" s="2" t="s">
        <v>25</v>
      </c>
      <c r="F108" s="2" t="s">
        <v>26</v>
      </c>
      <c r="G108" s="2" t="s">
        <v>27</v>
      </c>
      <c r="H108" s="2" t="s">
        <v>45</v>
      </c>
      <c r="I108" s="2" t="s">
        <v>29</v>
      </c>
      <c r="J108" s="2" t="s">
        <v>84</v>
      </c>
      <c r="K108" s="2" t="s">
        <v>48</v>
      </c>
      <c r="L108" s="2" t="s">
        <v>33</v>
      </c>
      <c r="M108" s="2" t="s">
        <v>63</v>
      </c>
      <c r="N108" s="2" t="s">
        <v>373</v>
      </c>
      <c r="O108" s="2" t="s">
        <v>33</v>
      </c>
      <c r="P108" s="2" t="s">
        <v>950</v>
      </c>
      <c r="Q108" s="2" t="s">
        <v>25</v>
      </c>
      <c r="R108" s="2" t="s">
        <v>52</v>
      </c>
      <c r="S108" s="2" t="s">
        <v>705</v>
      </c>
      <c r="T108" s="2" t="s">
        <v>951</v>
      </c>
      <c r="U108" s="2" t="s">
        <v>952</v>
      </c>
      <c r="V108" s="2"/>
    </row>
    <row r="109">
      <c r="A109" s="2">
        <v>163</v>
      </c>
      <c r="B109" s="2" t="s">
        <v>56</v>
      </c>
      <c r="C109" s="2" t="s">
        <v>953</v>
      </c>
      <c r="D109" s="2" t="s">
        <v>572</v>
      </c>
      <c r="E109" s="2" t="s">
        <v>25</v>
      </c>
      <c r="F109" s="2" t="s">
        <v>26</v>
      </c>
      <c r="G109" s="2" t="s">
        <v>73</v>
      </c>
      <c r="H109" s="2" t="s">
        <v>45</v>
      </c>
      <c r="I109" s="2" t="s">
        <v>29</v>
      </c>
      <c r="J109" s="2" t="s">
        <v>112</v>
      </c>
      <c r="K109" s="2" t="s">
        <v>62</v>
      </c>
      <c r="L109" s="2" t="s">
        <v>33</v>
      </c>
      <c r="M109" s="2" t="s">
        <v>63</v>
      </c>
      <c r="N109" s="2" t="s">
        <v>126</v>
      </c>
      <c r="O109" s="2" t="s">
        <v>33</v>
      </c>
      <c r="P109" s="2" t="s">
        <v>954</v>
      </c>
      <c r="Q109" s="2" t="s">
        <v>25</v>
      </c>
      <c r="R109" s="2" t="s">
        <v>52</v>
      </c>
      <c r="S109" s="2" t="s">
        <v>904</v>
      </c>
      <c r="T109" s="2" t="s">
        <v>955</v>
      </c>
      <c r="U109" s="2" t="s">
        <v>956</v>
      </c>
      <c r="V109" s="2" t="s">
        <v>81</v>
      </c>
    </row>
    <row r="110">
      <c r="A110" s="2">
        <v>164</v>
      </c>
      <c r="B110" s="2" t="s">
        <v>239</v>
      </c>
      <c r="C110" s="2" t="s">
        <v>957</v>
      </c>
      <c r="D110" s="2" t="s">
        <v>572</v>
      </c>
      <c r="E110" s="2" t="s">
        <v>25</v>
      </c>
      <c r="F110" s="2" t="s">
        <v>26</v>
      </c>
      <c r="G110" s="2" t="s">
        <v>73</v>
      </c>
      <c r="H110" s="2" t="s">
        <v>45</v>
      </c>
      <c r="I110" s="2" t="s">
        <v>46</v>
      </c>
      <c r="J110" s="2" t="s">
        <v>84</v>
      </c>
      <c r="K110" s="2" t="s">
        <v>104</v>
      </c>
      <c r="L110" s="2" t="s">
        <v>33</v>
      </c>
      <c r="M110" s="2" t="s">
        <v>49</v>
      </c>
      <c r="N110" s="2" t="s">
        <v>958</v>
      </c>
      <c r="O110" s="2" t="s">
        <v>33</v>
      </c>
      <c r="P110" s="2" t="s">
        <v>959</v>
      </c>
      <c r="Q110" s="2" t="s">
        <v>25</v>
      </c>
      <c r="R110" s="2" t="s">
        <v>52</v>
      </c>
      <c r="S110" s="2" t="s">
        <v>418</v>
      </c>
      <c r="T110" s="2" t="s">
        <v>960</v>
      </c>
      <c r="U110" s="2" t="s">
        <v>961</v>
      </c>
      <c r="V110" s="2"/>
    </row>
    <row r="111">
      <c r="A111" s="2">
        <v>165</v>
      </c>
      <c r="B111" s="2" t="s">
        <v>239</v>
      </c>
      <c r="C111" s="2" t="s">
        <v>962</v>
      </c>
      <c r="D111" s="2" t="s">
        <v>572</v>
      </c>
      <c r="E111" s="2" t="s">
        <v>25</v>
      </c>
      <c r="F111" s="2" t="s">
        <v>26</v>
      </c>
      <c r="G111" s="2" t="s">
        <v>73</v>
      </c>
      <c r="H111" s="2" t="s">
        <v>45</v>
      </c>
      <c r="I111" s="2" t="s">
        <v>29</v>
      </c>
      <c r="J111" s="2" t="s">
        <v>61</v>
      </c>
      <c r="K111" s="2" t="s">
        <v>62</v>
      </c>
      <c r="L111" s="2" t="s">
        <v>33</v>
      </c>
      <c r="M111" s="2" t="s">
        <v>63</v>
      </c>
      <c r="N111" s="2" t="s">
        <v>606</v>
      </c>
      <c r="O111" s="2" t="s">
        <v>33</v>
      </c>
      <c r="P111" s="2" t="s">
        <v>963</v>
      </c>
      <c r="Q111" s="2" t="s">
        <v>25</v>
      </c>
      <c r="R111" s="2" t="s">
        <v>52</v>
      </c>
      <c r="S111" s="2" t="s">
        <v>964</v>
      </c>
      <c r="T111" s="2" t="s">
        <v>965</v>
      </c>
      <c r="U111" s="2" t="s">
        <v>966</v>
      </c>
      <c r="V111" s="2" t="s">
        <v>81</v>
      </c>
    </row>
    <row r="112">
      <c r="A112" s="2">
        <v>166</v>
      </c>
      <c r="B112" s="2" t="s">
        <v>82</v>
      </c>
      <c r="C112" s="2" t="s">
        <v>967</v>
      </c>
      <c r="D112" s="2" t="s">
        <v>572</v>
      </c>
      <c r="E112" s="2" t="s">
        <v>25</v>
      </c>
      <c r="F112" s="2" t="s">
        <v>26</v>
      </c>
      <c r="G112" s="2" t="s">
        <v>73</v>
      </c>
      <c r="H112" s="2" t="s">
        <v>45</v>
      </c>
      <c r="I112" s="2" t="s">
        <v>29</v>
      </c>
      <c r="J112" s="2" t="s">
        <v>112</v>
      </c>
      <c r="K112" s="2" t="s">
        <v>62</v>
      </c>
      <c r="L112" s="2" t="s">
        <v>33</v>
      </c>
      <c r="M112" s="2" t="s">
        <v>750</v>
      </c>
      <c r="N112" s="2" t="s">
        <v>968</v>
      </c>
      <c r="O112" s="2" t="s">
        <v>33</v>
      </c>
      <c r="P112" s="2" t="s">
        <v>969</v>
      </c>
      <c r="Q112" s="2" t="s">
        <v>25</v>
      </c>
      <c r="R112" s="2" t="s">
        <v>52</v>
      </c>
      <c r="S112" s="2" t="s">
        <v>418</v>
      </c>
      <c r="T112" s="2" t="s">
        <v>970</v>
      </c>
      <c r="U112" s="2" t="s">
        <v>971</v>
      </c>
      <c r="V112" s="2"/>
    </row>
    <row r="113">
      <c r="A113" s="2">
        <v>167</v>
      </c>
      <c r="B113" s="2" t="s">
        <v>41</v>
      </c>
      <c r="C113" s="2" t="s">
        <v>972</v>
      </c>
      <c r="D113" s="2" t="s">
        <v>572</v>
      </c>
      <c r="E113" s="2" t="s">
        <v>25</v>
      </c>
      <c r="F113" s="2" t="s">
        <v>26</v>
      </c>
      <c r="G113" s="2" t="s">
        <v>27</v>
      </c>
      <c r="H113" s="2" t="s">
        <v>45</v>
      </c>
      <c r="I113" s="2" t="s">
        <v>46</v>
      </c>
      <c r="J113" s="2" t="s">
        <v>112</v>
      </c>
      <c r="K113" s="2" t="s">
        <v>104</v>
      </c>
      <c r="L113" s="2" t="s">
        <v>973</v>
      </c>
      <c r="M113" s="2" t="s">
        <v>737</v>
      </c>
      <c r="N113" s="2" t="s">
        <v>665</v>
      </c>
      <c r="O113" s="2" t="s">
        <v>974</v>
      </c>
      <c r="P113" s="2" t="s">
        <v>975</v>
      </c>
      <c r="Q113" s="2" t="s">
        <v>25</v>
      </c>
      <c r="R113" s="2" t="s">
        <v>52</v>
      </c>
      <c r="S113" s="2" t="s">
        <v>976</v>
      </c>
      <c r="T113" s="2" t="s">
        <v>977</v>
      </c>
      <c r="U113" s="2" t="s">
        <v>978</v>
      </c>
      <c r="V113" s="2" t="s">
        <v>81</v>
      </c>
    </row>
    <row r="114">
      <c r="A114" s="2">
        <v>168</v>
      </c>
      <c r="B114" s="2" t="s">
        <v>82</v>
      </c>
      <c r="C114" s="2" t="s">
        <v>979</v>
      </c>
      <c r="D114" s="2" t="s">
        <v>980</v>
      </c>
      <c r="E114" s="2" t="s">
        <v>25</v>
      </c>
      <c r="F114" s="2" t="s">
        <v>26</v>
      </c>
      <c r="G114" s="2" t="s">
        <v>73</v>
      </c>
      <c r="H114" s="2" t="s">
        <v>981</v>
      </c>
      <c r="I114" s="2" t="s">
        <v>982</v>
      </c>
      <c r="J114" s="2" t="s">
        <v>676</v>
      </c>
      <c r="K114" s="2" t="s">
        <v>161</v>
      </c>
      <c r="L114" s="2" t="s">
        <v>33</v>
      </c>
      <c r="M114" s="2" t="s">
        <v>33</v>
      </c>
      <c r="N114" s="2" t="s">
        <v>983</v>
      </c>
      <c r="O114" s="2" t="s">
        <v>33</v>
      </c>
      <c r="P114" s="2" t="s">
        <v>984</v>
      </c>
      <c r="Q114" s="2" t="s">
        <v>985</v>
      </c>
      <c r="R114" s="2" t="s">
        <v>986</v>
      </c>
      <c r="S114" s="2" t="s">
        <v>987</v>
      </c>
      <c r="T114" s="2" t="s">
        <v>988</v>
      </c>
      <c r="U114" s="2" t="s">
        <v>989</v>
      </c>
      <c r="V114" s="2"/>
    </row>
    <row r="115">
      <c r="A115" s="2">
        <v>175</v>
      </c>
      <c r="B115" s="2" t="s">
        <v>117</v>
      </c>
      <c r="C115" s="2" t="s">
        <v>1028</v>
      </c>
      <c r="D115" s="2" t="s">
        <v>980</v>
      </c>
      <c r="E115" s="2" t="s">
        <v>25</v>
      </c>
      <c r="F115" s="2" t="s">
        <v>26</v>
      </c>
      <c r="G115" s="2" t="s">
        <v>27</v>
      </c>
      <c r="H115" s="2" t="s">
        <v>981</v>
      </c>
      <c r="I115" s="2" t="s">
        <v>982</v>
      </c>
      <c r="J115" s="2" t="s">
        <v>629</v>
      </c>
      <c r="K115" s="2" t="s">
        <v>104</v>
      </c>
      <c r="L115" s="2" t="s">
        <v>33</v>
      </c>
      <c r="M115" s="2" t="s">
        <v>488</v>
      </c>
      <c r="N115" s="2" t="s">
        <v>1029</v>
      </c>
      <c r="O115" s="2" t="s">
        <v>33</v>
      </c>
      <c r="P115" s="2" t="s">
        <v>76</v>
      </c>
      <c r="Q115" s="2" t="s">
        <v>985</v>
      </c>
      <c r="R115" s="2" t="s">
        <v>986</v>
      </c>
      <c r="S115" s="2" t="s">
        <v>1030</v>
      </c>
      <c r="T115" s="2" t="s">
        <v>1031</v>
      </c>
      <c r="U115" s="2" t="s">
        <v>1032</v>
      </c>
      <c r="V115" s="2"/>
    </row>
    <row r="116">
      <c r="A116" s="2">
        <v>177</v>
      </c>
      <c r="B116" s="2" t="s">
        <v>117</v>
      </c>
      <c r="C116" s="2" t="s">
        <v>1039</v>
      </c>
      <c r="D116" s="2" t="s">
        <v>980</v>
      </c>
      <c r="E116" s="2" t="s">
        <v>25</v>
      </c>
      <c r="F116" s="2" t="s">
        <v>26</v>
      </c>
      <c r="G116" s="2" t="s">
        <v>73</v>
      </c>
      <c r="H116" s="2" t="s">
        <v>981</v>
      </c>
      <c r="I116" s="2" t="s">
        <v>982</v>
      </c>
      <c r="J116" s="2" t="s">
        <v>629</v>
      </c>
      <c r="K116" s="2" t="s">
        <v>62</v>
      </c>
      <c r="L116" s="2" t="s">
        <v>1040</v>
      </c>
      <c r="M116" s="2" t="s">
        <v>33</v>
      </c>
      <c r="N116" s="2" t="s">
        <v>992</v>
      </c>
      <c r="O116" s="2" t="s">
        <v>33</v>
      </c>
      <c r="P116" s="2" t="s">
        <v>1041</v>
      </c>
      <c r="Q116" s="2" t="s">
        <v>985</v>
      </c>
      <c r="R116" s="2" t="s">
        <v>986</v>
      </c>
      <c r="S116" s="2" t="s">
        <v>1042</v>
      </c>
      <c r="T116" s="2" t="s">
        <v>1043</v>
      </c>
      <c r="U116" s="2" t="s">
        <v>1044</v>
      </c>
      <c r="V116" s="2"/>
    </row>
    <row r="117">
      <c r="A117" s="2">
        <v>178</v>
      </c>
      <c r="B117" s="2" t="s">
        <v>117</v>
      </c>
      <c r="C117" s="2" t="s">
        <v>1045</v>
      </c>
      <c r="D117" s="2" t="s">
        <v>980</v>
      </c>
      <c r="E117" s="2" t="s">
        <v>25</v>
      </c>
      <c r="F117" s="2" t="s">
        <v>26</v>
      </c>
      <c r="G117" s="2" t="s">
        <v>27</v>
      </c>
      <c r="H117" s="2" t="s">
        <v>981</v>
      </c>
      <c r="I117" s="2" t="s">
        <v>982</v>
      </c>
      <c r="J117" s="2" t="s">
        <v>629</v>
      </c>
      <c r="K117" s="2" t="s">
        <v>62</v>
      </c>
      <c r="L117" s="2" t="s">
        <v>33</v>
      </c>
      <c r="M117" s="2" t="s">
        <v>63</v>
      </c>
      <c r="N117" s="2" t="s">
        <v>1046</v>
      </c>
      <c r="O117" s="2" t="s">
        <v>33</v>
      </c>
      <c r="P117" s="2" t="s">
        <v>1047</v>
      </c>
      <c r="Q117" s="2" t="s">
        <v>985</v>
      </c>
      <c r="R117" s="2" t="s">
        <v>986</v>
      </c>
      <c r="S117" s="2" t="s">
        <v>1048</v>
      </c>
      <c r="T117" s="2" t="s">
        <v>1049</v>
      </c>
      <c r="U117" s="2" t="s">
        <v>1050</v>
      </c>
      <c r="V117" s="2"/>
    </row>
    <row r="118">
      <c r="A118" s="2">
        <v>180</v>
      </c>
      <c r="B118" s="2" t="s">
        <v>117</v>
      </c>
      <c r="C118" s="2" t="s">
        <v>1057</v>
      </c>
      <c r="D118" s="2" t="s">
        <v>980</v>
      </c>
      <c r="E118" s="2" t="s">
        <v>25</v>
      </c>
      <c r="F118" s="2" t="s">
        <v>26</v>
      </c>
      <c r="G118" s="2" t="s">
        <v>27</v>
      </c>
      <c r="H118" s="2" t="s">
        <v>981</v>
      </c>
      <c r="I118" s="2" t="s">
        <v>982</v>
      </c>
      <c r="J118" s="2" t="s">
        <v>629</v>
      </c>
      <c r="K118" s="2" t="s">
        <v>48</v>
      </c>
      <c r="L118" s="2" t="s">
        <v>33</v>
      </c>
      <c r="M118" s="2" t="s">
        <v>488</v>
      </c>
      <c r="N118" s="2" t="s">
        <v>217</v>
      </c>
      <c r="O118" s="2" t="s">
        <v>33</v>
      </c>
      <c r="P118" s="2" t="s">
        <v>1058</v>
      </c>
      <c r="Q118" s="2" t="s">
        <v>985</v>
      </c>
      <c r="R118" s="2" t="s">
        <v>986</v>
      </c>
      <c r="S118" s="2" t="s">
        <v>1059</v>
      </c>
      <c r="T118" s="2" t="s">
        <v>1060</v>
      </c>
      <c r="U118" s="2" t="s">
        <v>1061</v>
      </c>
      <c r="V118" s="2"/>
    </row>
    <row r="119">
      <c r="A119" s="2">
        <v>183</v>
      </c>
      <c r="B119" s="2" t="s">
        <v>82</v>
      </c>
      <c r="C119" s="2" t="s">
        <v>1074</v>
      </c>
      <c r="D119" s="2" t="s">
        <v>980</v>
      </c>
      <c r="E119" s="2" t="s">
        <v>25</v>
      </c>
      <c r="F119" s="2" t="s">
        <v>26</v>
      </c>
      <c r="G119" s="2" t="s">
        <v>73</v>
      </c>
      <c r="H119" s="2" t="s">
        <v>981</v>
      </c>
      <c r="I119" s="2" t="s">
        <v>982</v>
      </c>
      <c r="J119" s="2" t="s">
        <v>1075</v>
      </c>
      <c r="K119" s="2" t="s">
        <v>62</v>
      </c>
      <c r="L119" s="2" t="s">
        <v>33</v>
      </c>
      <c r="M119" s="2" t="s">
        <v>33</v>
      </c>
      <c r="N119" s="2" t="s">
        <v>1076</v>
      </c>
      <c r="O119" s="2" t="s">
        <v>33</v>
      </c>
      <c r="P119" s="2" t="s">
        <v>1077</v>
      </c>
      <c r="Q119" s="2" t="s">
        <v>985</v>
      </c>
      <c r="R119" s="2" t="s">
        <v>986</v>
      </c>
      <c r="S119" s="2" t="s">
        <v>1078</v>
      </c>
      <c r="T119" s="2" t="s">
        <v>1079</v>
      </c>
      <c r="U119" s="2" t="s">
        <v>1080</v>
      </c>
      <c r="V119" s="2" t="s">
        <v>81</v>
      </c>
    </row>
    <row r="120">
      <c r="A120" s="2">
        <v>187</v>
      </c>
      <c r="B120" s="2" t="s">
        <v>41</v>
      </c>
      <c r="C120" s="2" t="s">
        <v>1098</v>
      </c>
      <c r="D120" s="2" t="s">
        <v>980</v>
      </c>
      <c r="E120" s="2" t="s">
        <v>25</v>
      </c>
      <c r="F120" s="2" t="s">
        <v>26</v>
      </c>
      <c r="G120" s="2" t="s">
        <v>73</v>
      </c>
      <c r="H120" s="2" t="s">
        <v>981</v>
      </c>
      <c r="I120" s="2" t="s">
        <v>982</v>
      </c>
      <c r="J120" s="2" t="s">
        <v>1075</v>
      </c>
      <c r="K120" s="2" t="s">
        <v>62</v>
      </c>
      <c r="L120" s="2" t="s">
        <v>33</v>
      </c>
      <c r="M120" s="2" t="s">
        <v>33</v>
      </c>
      <c r="N120" s="2" t="s">
        <v>1012</v>
      </c>
      <c r="O120" s="2" t="s">
        <v>33</v>
      </c>
      <c r="P120" s="2" t="s">
        <v>76</v>
      </c>
      <c r="Q120" s="2" t="s">
        <v>985</v>
      </c>
      <c r="R120" s="2" t="s">
        <v>986</v>
      </c>
      <c r="S120" s="2" t="s">
        <v>1099</v>
      </c>
      <c r="T120" s="2" t="s">
        <v>1100</v>
      </c>
      <c r="U120" s="2" t="s">
        <v>1101</v>
      </c>
      <c r="V120" s="2"/>
    </row>
    <row r="121">
      <c r="A121" s="2">
        <v>191</v>
      </c>
      <c r="B121" s="2" t="s">
        <v>22</v>
      </c>
      <c r="C121" s="2" t="s">
        <v>1119</v>
      </c>
      <c r="D121" s="2" t="s">
        <v>980</v>
      </c>
      <c r="E121" s="2" t="s">
        <v>25</v>
      </c>
      <c r="F121" s="2" t="s">
        <v>26</v>
      </c>
      <c r="G121" s="2" t="s">
        <v>73</v>
      </c>
      <c r="H121" s="2" t="s">
        <v>981</v>
      </c>
      <c r="I121" s="2" t="s">
        <v>982</v>
      </c>
      <c r="J121" s="2" t="s">
        <v>676</v>
      </c>
      <c r="K121" s="2" t="s">
        <v>48</v>
      </c>
      <c r="L121" s="2" t="s">
        <v>33</v>
      </c>
      <c r="M121" s="2" t="s">
        <v>33</v>
      </c>
      <c r="N121" s="2" t="s">
        <v>1046</v>
      </c>
      <c r="O121" s="2" t="s">
        <v>33</v>
      </c>
      <c r="P121" s="2" t="s">
        <v>76</v>
      </c>
      <c r="Q121" s="2" t="s">
        <v>985</v>
      </c>
      <c r="R121" s="2" t="s">
        <v>986</v>
      </c>
      <c r="S121" s="2" t="s">
        <v>1120</v>
      </c>
      <c r="T121" s="2" t="s">
        <v>1121</v>
      </c>
      <c r="U121" s="2" t="s">
        <v>1122</v>
      </c>
      <c r="V121" s="2"/>
    </row>
    <row r="122">
      <c r="A122" s="2">
        <v>198</v>
      </c>
      <c r="B122" s="2" t="s">
        <v>117</v>
      </c>
      <c r="C122" s="2" t="s">
        <v>1157</v>
      </c>
      <c r="D122" s="2" t="s">
        <v>980</v>
      </c>
      <c r="E122" s="2" t="s">
        <v>25</v>
      </c>
      <c r="F122" s="2" t="s">
        <v>26</v>
      </c>
      <c r="G122" s="2" t="s">
        <v>27</v>
      </c>
      <c r="H122" s="2" t="s">
        <v>981</v>
      </c>
      <c r="I122" s="2" t="s">
        <v>982</v>
      </c>
      <c r="J122" s="2" t="s">
        <v>580</v>
      </c>
      <c r="K122" s="2" t="s">
        <v>104</v>
      </c>
      <c r="L122" s="2" t="s">
        <v>33</v>
      </c>
      <c r="M122" s="2" t="s">
        <v>1158</v>
      </c>
      <c r="N122" s="2" t="s">
        <v>1159</v>
      </c>
      <c r="O122" s="2" t="s">
        <v>33</v>
      </c>
      <c r="P122" s="2" t="s">
        <v>1160</v>
      </c>
      <c r="Q122" s="2" t="s">
        <v>985</v>
      </c>
      <c r="R122" s="2" t="s">
        <v>986</v>
      </c>
      <c r="S122" s="2" t="s">
        <v>1161</v>
      </c>
      <c r="T122" s="2"/>
      <c r="U122" s="2" t="s">
        <v>1162</v>
      </c>
      <c r="V122" s="2"/>
    </row>
    <row r="123">
      <c r="A123" s="2">
        <v>203</v>
      </c>
      <c r="B123" s="2" t="s">
        <v>41</v>
      </c>
      <c r="C123" s="2" t="s">
        <v>1185</v>
      </c>
      <c r="D123" s="2" t="s">
        <v>980</v>
      </c>
      <c r="E123" s="2" t="s">
        <v>25</v>
      </c>
      <c r="F123" s="2" t="s">
        <v>26</v>
      </c>
      <c r="G123" s="2" t="s">
        <v>73</v>
      </c>
      <c r="H123" s="2" t="s">
        <v>981</v>
      </c>
      <c r="I123" s="2" t="s">
        <v>982</v>
      </c>
      <c r="J123" s="2" t="s">
        <v>676</v>
      </c>
      <c r="K123" s="2" t="s">
        <v>161</v>
      </c>
      <c r="L123" s="2" t="s">
        <v>33</v>
      </c>
      <c r="M123" s="2" t="s">
        <v>998</v>
      </c>
      <c r="N123" s="2" t="s">
        <v>1069</v>
      </c>
      <c r="O123" s="2" t="s">
        <v>33</v>
      </c>
      <c r="P123" s="2" t="s">
        <v>1186</v>
      </c>
      <c r="Q123" s="2" t="s">
        <v>985</v>
      </c>
      <c r="R123" s="2" t="s">
        <v>986</v>
      </c>
      <c r="S123" s="2" t="s">
        <v>1187</v>
      </c>
      <c r="T123" s="2" t="s">
        <v>1188</v>
      </c>
      <c r="U123" s="2" t="s">
        <v>1189</v>
      </c>
      <c r="V123" s="2"/>
    </row>
    <row r="124">
      <c r="A124" s="2">
        <v>215</v>
      </c>
      <c r="B124" s="2" t="s">
        <v>117</v>
      </c>
      <c r="C124" s="2" t="s">
        <v>1248</v>
      </c>
      <c r="D124" s="2" t="s">
        <v>980</v>
      </c>
      <c r="E124" s="2" t="s">
        <v>25</v>
      </c>
      <c r="F124" s="2" t="s">
        <v>26</v>
      </c>
      <c r="G124" s="2" t="s">
        <v>27</v>
      </c>
      <c r="H124" s="2" t="s">
        <v>981</v>
      </c>
      <c r="I124" s="2" t="s">
        <v>982</v>
      </c>
      <c r="J124" s="2" t="s">
        <v>527</v>
      </c>
      <c r="K124" s="2" t="s">
        <v>104</v>
      </c>
      <c r="L124" s="2" t="s">
        <v>33</v>
      </c>
      <c r="M124" s="2" t="s">
        <v>113</v>
      </c>
      <c r="N124" s="2" t="s">
        <v>1249</v>
      </c>
      <c r="O124" s="2" t="s">
        <v>33</v>
      </c>
      <c r="P124" s="2" t="s">
        <v>1250</v>
      </c>
      <c r="Q124" s="2" t="s">
        <v>985</v>
      </c>
      <c r="R124" s="2" t="s">
        <v>986</v>
      </c>
      <c r="S124" s="2" t="s">
        <v>1251</v>
      </c>
      <c r="T124" s="2" t="s">
        <v>1252</v>
      </c>
      <c r="U124" s="2" t="s">
        <v>1253</v>
      </c>
      <c r="V124" s="2"/>
    </row>
    <row r="125">
      <c r="A125" s="2">
        <v>218</v>
      </c>
      <c r="B125" s="2" t="s">
        <v>239</v>
      </c>
      <c r="C125" s="2" t="s">
        <v>1264</v>
      </c>
      <c r="D125" s="2" t="s">
        <v>980</v>
      </c>
      <c r="E125" s="2" t="s">
        <v>25</v>
      </c>
      <c r="F125" s="2" t="s">
        <v>26</v>
      </c>
      <c r="G125" s="2" t="s">
        <v>73</v>
      </c>
      <c r="H125" s="2" t="s">
        <v>981</v>
      </c>
      <c r="I125" s="2" t="s">
        <v>982</v>
      </c>
      <c r="J125" s="2" t="s">
        <v>676</v>
      </c>
      <c r="K125" s="2" t="s">
        <v>104</v>
      </c>
      <c r="L125" s="2" t="s">
        <v>33</v>
      </c>
      <c r="M125" s="2" t="s">
        <v>33</v>
      </c>
      <c r="N125" s="2" t="s">
        <v>243</v>
      </c>
      <c r="O125" s="2" t="s">
        <v>33</v>
      </c>
      <c r="P125" s="2" t="s">
        <v>1265</v>
      </c>
      <c r="Q125" s="2" t="s">
        <v>985</v>
      </c>
      <c r="R125" s="2" t="s">
        <v>986</v>
      </c>
      <c r="S125" s="2" t="s">
        <v>1110</v>
      </c>
      <c r="T125" s="2" t="s">
        <v>1266</v>
      </c>
      <c r="U125" s="2" t="s">
        <v>1267</v>
      </c>
      <c r="V125" s="2" t="s">
        <v>191</v>
      </c>
    </row>
    <row r="126">
      <c r="A126" s="2">
        <v>226</v>
      </c>
      <c r="B126" s="2" t="s">
        <v>117</v>
      </c>
      <c r="C126" s="2" t="s">
        <v>1305</v>
      </c>
      <c r="D126" s="2" t="s">
        <v>980</v>
      </c>
      <c r="E126" s="2" t="s">
        <v>25</v>
      </c>
      <c r="F126" s="2" t="s">
        <v>26</v>
      </c>
      <c r="G126" s="2" t="s">
        <v>27</v>
      </c>
      <c r="H126" s="2" t="s">
        <v>981</v>
      </c>
      <c r="I126" s="2" t="s">
        <v>982</v>
      </c>
      <c r="J126" s="2" t="s">
        <v>84</v>
      </c>
      <c r="K126" s="2" t="s">
        <v>31</v>
      </c>
      <c r="L126" s="2" t="s">
        <v>33</v>
      </c>
      <c r="M126" s="2" t="s">
        <v>33</v>
      </c>
      <c r="N126" s="2" t="s">
        <v>1191</v>
      </c>
      <c r="O126" s="2" t="s">
        <v>33</v>
      </c>
      <c r="P126" s="2" t="s">
        <v>1306</v>
      </c>
      <c r="Q126" s="2" t="s">
        <v>985</v>
      </c>
      <c r="R126" s="2" t="s">
        <v>986</v>
      </c>
      <c r="S126" s="2" t="s">
        <v>1276</v>
      </c>
      <c r="T126" s="2" t="s">
        <v>1307</v>
      </c>
      <c r="U126" s="2" t="s">
        <v>1308</v>
      </c>
      <c r="V126" s="2"/>
    </row>
    <row r="127">
      <c r="A127" s="2">
        <v>227</v>
      </c>
      <c r="B127" s="2" t="s">
        <v>117</v>
      </c>
      <c r="C127" s="2" t="s">
        <v>1309</v>
      </c>
      <c r="D127" s="2" t="s">
        <v>980</v>
      </c>
      <c r="E127" s="2" t="s">
        <v>25</v>
      </c>
      <c r="F127" s="2" t="s">
        <v>26</v>
      </c>
      <c r="G127" s="2" t="s">
        <v>73</v>
      </c>
      <c r="H127" s="2" t="s">
        <v>981</v>
      </c>
      <c r="I127" s="2" t="s">
        <v>982</v>
      </c>
      <c r="J127" s="2" t="s">
        <v>676</v>
      </c>
      <c r="K127" s="2" t="s">
        <v>48</v>
      </c>
      <c r="L127" s="2" t="s">
        <v>33</v>
      </c>
      <c r="M127" s="2" t="s">
        <v>488</v>
      </c>
      <c r="N127" s="2" t="s">
        <v>1310</v>
      </c>
      <c r="O127" s="2" t="s">
        <v>33</v>
      </c>
      <c r="P127" s="2" t="s">
        <v>1311</v>
      </c>
      <c r="Q127" s="2" t="s">
        <v>985</v>
      </c>
      <c r="R127" s="2" t="s">
        <v>986</v>
      </c>
      <c r="S127" s="2" t="s">
        <v>1312</v>
      </c>
      <c r="T127" s="2" t="s">
        <v>1313</v>
      </c>
      <c r="U127" s="2" t="s">
        <v>1314</v>
      </c>
      <c r="V127" s="2" t="s">
        <v>81</v>
      </c>
    </row>
    <row r="128">
      <c r="A128" s="2">
        <v>234</v>
      </c>
      <c r="B128" s="2" t="s">
        <v>41</v>
      </c>
      <c r="C128" s="2" t="s">
        <v>1343</v>
      </c>
      <c r="D128" s="2" t="s">
        <v>980</v>
      </c>
      <c r="E128" s="2" t="s">
        <v>25</v>
      </c>
      <c r="F128" s="2" t="s">
        <v>26</v>
      </c>
      <c r="G128" s="2" t="s">
        <v>73</v>
      </c>
      <c r="H128" s="2" t="s">
        <v>981</v>
      </c>
      <c r="I128" s="2" t="s">
        <v>982</v>
      </c>
      <c r="J128" s="2" t="s">
        <v>1075</v>
      </c>
      <c r="K128" s="2" t="s">
        <v>48</v>
      </c>
      <c r="L128" s="2" t="s">
        <v>1040</v>
      </c>
      <c r="M128" s="2" t="s">
        <v>33</v>
      </c>
      <c r="N128" s="2" t="s">
        <v>1344</v>
      </c>
      <c r="O128" s="2" t="s">
        <v>33</v>
      </c>
      <c r="P128" s="2" t="s">
        <v>76</v>
      </c>
      <c r="Q128" s="2" t="s">
        <v>985</v>
      </c>
      <c r="R128" s="2" t="s">
        <v>986</v>
      </c>
      <c r="S128" s="2" t="s">
        <v>1110</v>
      </c>
      <c r="T128" s="2" t="s">
        <v>1345</v>
      </c>
      <c r="U128" s="2" t="s">
        <v>1346</v>
      </c>
      <c r="V128" s="2" t="s">
        <v>197</v>
      </c>
    </row>
    <row r="129">
      <c r="A129" s="2">
        <v>244</v>
      </c>
      <c r="B129" s="2" t="s">
        <v>82</v>
      </c>
      <c r="C129" s="2" t="s">
        <v>1397</v>
      </c>
      <c r="D129" s="2" t="s">
        <v>980</v>
      </c>
      <c r="E129" s="2" t="s">
        <v>25</v>
      </c>
      <c r="F129" s="2" t="s">
        <v>26</v>
      </c>
      <c r="G129" s="2" t="s">
        <v>27</v>
      </c>
      <c r="H129" s="2" t="s">
        <v>981</v>
      </c>
      <c r="I129" s="2" t="s">
        <v>982</v>
      </c>
      <c r="J129" s="2" t="s">
        <v>1398</v>
      </c>
      <c r="K129" s="2" t="s">
        <v>31</v>
      </c>
      <c r="L129" s="2" t="s">
        <v>1399</v>
      </c>
      <c r="M129" s="2" t="s">
        <v>33</v>
      </c>
      <c r="N129" s="2" t="s">
        <v>1400</v>
      </c>
      <c r="O129" s="2" t="s">
        <v>218</v>
      </c>
      <c r="P129" s="2" t="s">
        <v>1401</v>
      </c>
      <c r="Q129" s="2" t="s">
        <v>985</v>
      </c>
      <c r="R129" s="2" t="s">
        <v>986</v>
      </c>
      <c r="S129" s="2" t="s">
        <v>1402</v>
      </c>
      <c r="T129" s="2" t="s">
        <v>1403</v>
      </c>
      <c r="U129" s="2" t="s">
        <v>1404</v>
      </c>
      <c r="V129" s="2"/>
    </row>
    <row r="130">
      <c r="A130" s="2">
        <v>246</v>
      </c>
      <c r="B130" s="2" t="s">
        <v>110</v>
      </c>
      <c r="C130" s="2" t="s">
        <v>1411</v>
      </c>
      <c r="D130" s="2" t="s">
        <v>980</v>
      </c>
      <c r="E130" s="2" t="s">
        <v>25</v>
      </c>
      <c r="F130" s="2" t="s">
        <v>26</v>
      </c>
      <c r="G130" s="2" t="s">
        <v>27</v>
      </c>
      <c r="H130" s="2" t="s">
        <v>981</v>
      </c>
      <c r="I130" s="2" t="s">
        <v>982</v>
      </c>
      <c r="J130" s="2" t="s">
        <v>112</v>
      </c>
      <c r="K130" s="2" t="s">
        <v>31</v>
      </c>
      <c r="L130" s="2" t="s">
        <v>33</v>
      </c>
      <c r="M130" s="2" t="s">
        <v>33</v>
      </c>
      <c r="N130" s="2" t="s">
        <v>1412</v>
      </c>
      <c r="O130" s="2" t="s">
        <v>33</v>
      </c>
      <c r="P130" s="2" t="s">
        <v>1413</v>
      </c>
      <c r="Q130" s="2" t="s">
        <v>985</v>
      </c>
      <c r="R130" s="2" t="s">
        <v>986</v>
      </c>
      <c r="S130" s="2" t="s">
        <v>1414</v>
      </c>
      <c r="T130" s="2" t="s">
        <v>1415</v>
      </c>
      <c r="U130" s="2" t="s">
        <v>1416</v>
      </c>
      <c r="V130" s="2" t="s">
        <v>81</v>
      </c>
    </row>
    <row r="131">
      <c r="A131" s="2">
        <v>247</v>
      </c>
      <c r="B131" s="2" t="s">
        <v>117</v>
      </c>
      <c r="C131" s="2" t="s">
        <v>1417</v>
      </c>
      <c r="D131" s="2" t="s">
        <v>980</v>
      </c>
      <c r="E131" s="2" t="s">
        <v>25</v>
      </c>
      <c r="F131" s="2" t="s">
        <v>26</v>
      </c>
      <c r="G131" s="2" t="s">
        <v>27</v>
      </c>
      <c r="H131" s="2" t="s">
        <v>981</v>
      </c>
      <c r="I131" s="2" t="s">
        <v>982</v>
      </c>
      <c r="J131" s="2" t="s">
        <v>580</v>
      </c>
      <c r="K131" s="2" t="s">
        <v>104</v>
      </c>
      <c r="L131" s="2" t="s">
        <v>33</v>
      </c>
      <c r="M131" s="2" t="s">
        <v>33</v>
      </c>
      <c r="N131" s="2" t="s">
        <v>1418</v>
      </c>
      <c r="O131" s="2" t="s">
        <v>33</v>
      </c>
      <c r="P131" s="2" t="s">
        <v>76</v>
      </c>
      <c r="Q131" s="2" t="s">
        <v>985</v>
      </c>
      <c r="R131" s="2" t="s">
        <v>986</v>
      </c>
      <c r="S131" s="2" t="s">
        <v>1271</v>
      </c>
      <c r="T131" s="2" t="s">
        <v>1419</v>
      </c>
      <c r="U131" s="2" t="s">
        <v>1420</v>
      </c>
      <c r="V131" s="2" t="s">
        <v>81</v>
      </c>
    </row>
    <row r="132">
      <c r="A132" s="2">
        <v>248</v>
      </c>
      <c r="B132" s="2" t="s">
        <v>117</v>
      </c>
      <c r="C132" s="2" t="s">
        <v>1421</v>
      </c>
      <c r="D132" s="2" t="s">
        <v>980</v>
      </c>
      <c r="E132" s="2" t="s">
        <v>25</v>
      </c>
      <c r="F132" s="2" t="s">
        <v>26</v>
      </c>
      <c r="G132" s="2" t="s">
        <v>27</v>
      </c>
      <c r="H132" s="2" t="s">
        <v>981</v>
      </c>
      <c r="I132" s="2" t="s">
        <v>982</v>
      </c>
      <c r="J132" s="2" t="s">
        <v>1398</v>
      </c>
      <c r="K132" s="2" t="s">
        <v>62</v>
      </c>
      <c r="L132" s="2" t="s">
        <v>1399</v>
      </c>
      <c r="M132" s="2" t="s">
        <v>1422</v>
      </c>
      <c r="N132" s="2" t="s">
        <v>1012</v>
      </c>
      <c r="O132" s="2" t="s">
        <v>33</v>
      </c>
      <c r="P132" s="2" t="s">
        <v>1423</v>
      </c>
      <c r="Q132" s="2" t="s">
        <v>985</v>
      </c>
      <c r="R132" s="2" t="s">
        <v>986</v>
      </c>
      <c r="S132" s="2" t="s">
        <v>78</v>
      </c>
      <c r="T132" s="2" t="s">
        <v>1424</v>
      </c>
      <c r="U132" s="2" t="s">
        <v>1425</v>
      </c>
      <c r="V132" s="2" t="s">
        <v>81</v>
      </c>
    </row>
    <row r="133">
      <c r="A133" s="2">
        <v>250</v>
      </c>
      <c r="B133" s="2" t="s">
        <v>192</v>
      </c>
      <c r="C133" s="2" t="s">
        <v>1430</v>
      </c>
      <c r="D133" s="2" t="s">
        <v>980</v>
      </c>
      <c r="E133" s="2" t="s">
        <v>25</v>
      </c>
      <c r="F133" s="2" t="s">
        <v>26</v>
      </c>
      <c r="G133" s="2" t="s">
        <v>73</v>
      </c>
      <c r="H133" s="2" t="s">
        <v>981</v>
      </c>
      <c r="I133" s="2" t="s">
        <v>982</v>
      </c>
      <c r="J133" s="2" t="s">
        <v>1075</v>
      </c>
      <c r="K133" s="2" t="s">
        <v>62</v>
      </c>
      <c r="L133" s="2" t="s">
        <v>33</v>
      </c>
      <c r="M133" s="2" t="s">
        <v>1431</v>
      </c>
      <c r="N133" s="2" t="s">
        <v>1432</v>
      </c>
      <c r="O133" s="2" t="s">
        <v>33</v>
      </c>
      <c r="P133" s="2" t="s">
        <v>76</v>
      </c>
      <c r="Q133" s="2" t="s">
        <v>985</v>
      </c>
      <c r="R133" s="2" t="s">
        <v>986</v>
      </c>
      <c r="S133" s="2" t="s">
        <v>1078</v>
      </c>
      <c r="T133" s="2" t="s">
        <v>1433</v>
      </c>
      <c r="U133" s="2" t="s">
        <v>1434</v>
      </c>
      <c r="V133" s="2" t="s">
        <v>145</v>
      </c>
    </row>
    <row r="134">
      <c r="A134" s="2">
        <v>251</v>
      </c>
      <c r="B134" s="2" t="s">
        <v>117</v>
      </c>
      <c r="C134" s="2" t="s">
        <v>1435</v>
      </c>
      <c r="D134" s="2" t="s">
        <v>980</v>
      </c>
      <c r="E134" s="2" t="s">
        <v>25</v>
      </c>
      <c r="F134" s="2" t="s">
        <v>26</v>
      </c>
      <c r="G134" s="2" t="s">
        <v>27</v>
      </c>
      <c r="H134" s="2" t="s">
        <v>981</v>
      </c>
      <c r="I134" s="2" t="s">
        <v>982</v>
      </c>
      <c r="J134" s="2" t="s">
        <v>629</v>
      </c>
      <c r="K134" s="2" t="s">
        <v>48</v>
      </c>
      <c r="L134" s="2" t="s">
        <v>33</v>
      </c>
      <c r="M134" s="2" t="s">
        <v>1436</v>
      </c>
      <c r="N134" s="2" t="s">
        <v>217</v>
      </c>
      <c r="O134" s="2" t="s">
        <v>33</v>
      </c>
      <c r="P134" s="2" t="s">
        <v>1437</v>
      </c>
      <c r="Q134" s="2" t="s">
        <v>985</v>
      </c>
      <c r="R134" s="2" t="s">
        <v>986</v>
      </c>
      <c r="S134" s="2" t="s">
        <v>281</v>
      </c>
      <c r="T134" s="2" t="s">
        <v>1438</v>
      </c>
      <c r="U134" s="2" t="s">
        <v>1439</v>
      </c>
      <c r="V134" s="2"/>
    </row>
    <row r="135">
      <c r="A135" s="2">
        <v>254</v>
      </c>
      <c r="B135" s="2" t="s">
        <v>41</v>
      </c>
      <c r="C135" s="2" t="s">
        <v>1450</v>
      </c>
      <c r="D135" s="2" t="s">
        <v>980</v>
      </c>
      <c r="E135" s="2" t="s">
        <v>25</v>
      </c>
      <c r="F135" s="2" t="s">
        <v>26</v>
      </c>
      <c r="G135" s="2" t="s">
        <v>73</v>
      </c>
      <c r="H135" s="2" t="s">
        <v>981</v>
      </c>
      <c r="I135" s="2" t="s">
        <v>982</v>
      </c>
      <c r="J135" s="2" t="s">
        <v>676</v>
      </c>
      <c r="K135" s="2" t="s">
        <v>104</v>
      </c>
      <c r="L135" s="2" t="s">
        <v>1451</v>
      </c>
      <c r="M135" s="2" t="s">
        <v>1011</v>
      </c>
      <c r="N135" s="2" t="s">
        <v>1023</v>
      </c>
      <c r="O135" s="2" t="s">
        <v>1452</v>
      </c>
      <c r="P135" s="2" t="s">
        <v>1453</v>
      </c>
      <c r="Q135" s="2" t="s">
        <v>985</v>
      </c>
      <c r="R135" s="2" t="s">
        <v>986</v>
      </c>
      <c r="S135" s="2" t="s">
        <v>1454</v>
      </c>
      <c r="T135" s="2" t="s">
        <v>1455</v>
      </c>
      <c r="U135" s="2" t="s">
        <v>1456</v>
      </c>
      <c r="V135" s="2" t="s">
        <v>145</v>
      </c>
    </row>
    <row r="136">
      <c r="A136" s="2">
        <v>261</v>
      </c>
      <c r="B136" s="2" t="s">
        <v>82</v>
      </c>
      <c r="C136" s="2" t="s">
        <v>1484</v>
      </c>
      <c r="D136" s="2" t="s">
        <v>980</v>
      </c>
      <c r="E136" s="2" t="s">
        <v>25</v>
      </c>
      <c r="F136" s="2" t="s">
        <v>26</v>
      </c>
      <c r="G136" s="2" t="s">
        <v>27</v>
      </c>
      <c r="H136" s="2" t="s">
        <v>981</v>
      </c>
      <c r="I136" s="2" t="s">
        <v>982</v>
      </c>
      <c r="J136" s="2" t="s">
        <v>112</v>
      </c>
      <c r="K136" s="2" t="s">
        <v>62</v>
      </c>
      <c r="L136" s="2" t="s">
        <v>1485</v>
      </c>
      <c r="M136" s="2" t="s">
        <v>33</v>
      </c>
      <c r="N136" s="2" t="s">
        <v>1486</v>
      </c>
      <c r="O136" s="2" t="s">
        <v>33</v>
      </c>
      <c r="P136" s="2" t="s">
        <v>1487</v>
      </c>
      <c r="Q136" s="2" t="s">
        <v>985</v>
      </c>
      <c r="R136" s="2" t="s">
        <v>986</v>
      </c>
      <c r="S136" s="2" t="s">
        <v>1488</v>
      </c>
      <c r="T136" s="2" t="s">
        <v>1489</v>
      </c>
      <c r="U136" s="2" t="s">
        <v>1490</v>
      </c>
      <c r="V136"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00F20059-00D2-49DB-85A7-00E600AE00C0}">
            <xm:f>G2="High"</xm:f>
            <x14:dxf>
              <font>
                <b/>
              </font>
              <fill>
                <patternFill patternType="solid">
                  <fgColor rgb="FFD9EAD3"/>
                  <bgColor rgb="FFD9EAD3"/>
                </patternFill>
              </fill>
            </x14:dxf>
          </x14:cfRule>
          <xm:sqref>G2:G136</xm:sqref>
        </x14:conditionalFormatting>
        <x14:conditionalFormatting xmlns:xm="http://schemas.microsoft.com/office/excel/2006/main">
          <x14:cfRule type="expression" priority="2" id="{007E0036-0059-463E-8ABA-00C100D30048}">
            <xm:f>G2="Medium"</xm:f>
            <x14:dxf>
              <fill>
                <patternFill patternType="solid">
                  <fgColor rgb="FFFFF2CC"/>
                  <bgColor rgb="FFFFF2CC"/>
                </patternFill>
              </fill>
            </x14:dxf>
          </x14:cfRule>
          <xm:sqref>G2:G136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5"/>
    <col customWidth="1" min="2" max="2" width="8"/>
    <col customWidth="1" min="3" max="3" width="62"/>
    <col customWidth="1" min="4" max="4" width="19"/>
    <col customWidth="1" min="5" max="5" width="42"/>
    <col customWidth="1" min="6" max="6" width="32"/>
    <col customWidth="1" min="7" max="7" width="34"/>
    <col customWidth="1" min="8" max="8" width="20"/>
  </cols>
  <sheetData>
    <row r="1">
      <c r="A1" s="3" t="s">
        <v>1501</v>
      </c>
      <c r="B1" s="3"/>
      <c r="C1" s="3"/>
      <c r="D1" s="3"/>
      <c r="E1" s="3"/>
      <c r="F1" s="3"/>
      <c r="G1" s="3"/>
      <c r="H1" s="3"/>
    </row>
    <row r="3">
      <c r="A3" s="4" t="s">
        <v>1502</v>
      </c>
      <c r="B3" s="4" t="s">
        <v>1503</v>
      </c>
      <c r="D3" s="4" t="s">
        <v>1504</v>
      </c>
      <c r="E3" s="4" t="s">
        <v>1505</v>
      </c>
    </row>
    <row r="4">
      <c r="A4" t="s">
        <v>1506</v>
      </c>
      <c r="B4">
        <v>281</v>
      </c>
      <c r="D4" t="s">
        <v>1507</v>
      </c>
      <c r="E4">
        <v>18</v>
      </c>
    </row>
    <row r="5">
      <c r="A5" t="s">
        <v>1508</v>
      </c>
      <c r="B5">
        <v>263</v>
      </c>
      <c r="D5" t="s">
        <v>1509</v>
      </c>
      <c r="E5">
        <v>0</v>
      </c>
    </row>
    <row r="6">
      <c r="A6" t="s">
        <v>1510</v>
      </c>
      <c r="B6">
        <v>18</v>
      </c>
      <c r="D6" t="s">
        <v>1511</v>
      </c>
      <c r="E6">
        <v>0</v>
      </c>
    </row>
    <row r="7">
      <c r="A7" t="s">
        <v>1512</v>
      </c>
      <c r="B7">
        <v>18</v>
      </c>
      <c r="D7" t="s">
        <v>1513</v>
      </c>
      <c r="E7">
        <v>0</v>
      </c>
    </row>
    <row r="8">
      <c r="A8" t="s">
        <v>1514</v>
      </c>
      <c r="B8">
        <v>0</v>
      </c>
    </row>
    <row r="10">
      <c r="A10" s="5" t="s">
        <v>1515</v>
      </c>
      <c r="B10" s="5"/>
      <c r="C10" s="5"/>
      <c r="D10" s="5"/>
      <c r="E10" s="5"/>
      <c r="F10" s="5"/>
      <c r="G10" s="5"/>
      <c r="H10" s="5"/>
    </row>
    <row r="11">
      <c r="A11" s="1" t="s">
        <v>0</v>
      </c>
      <c r="B11" s="1" t="s">
        <v>1</v>
      </c>
      <c r="C11" s="1" t="s">
        <v>2</v>
      </c>
      <c r="D11" s="1" t="s">
        <v>1516</v>
      </c>
      <c r="E11" s="1" t="s">
        <v>1517</v>
      </c>
      <c r="F11" s="1" t="s">
        <v>18</v>
      </c>
      <c r="G11" s="1" t="s">
        <v>19</v>
      </c>
      <c r="H11" s="1" t="s">
        <v>1518</v>
      </c>
    </row>
    <row r="12">
      <c r="A12" s="2">
        <v>1</v>
      </c>
      <c r="B12" s="2" t="s">
        <v>117</v>
      </c>
      <c r="C12" s="2" t="s">
        <v>168</v>
      </c>
      <c r="D12" s="2">
        <v>2</v>
      </c>
      <c r="E12" s="2" t="s">
        <v>43</v>
      </c>
      <c r="F12" s="2" t="s">
        <v>172</v>
      </c>
      <c r="G12" s="2" t="s">
        <v>173</v>
      </c>
      <c r="H12" s="2" t="s">
        <v>1519</v>
      </c>
    </row>
    <row r="13">
      <c r="A13" s="2">
        <v>2</v>
      </c>
      <c r="B13" s="2" t="s">
        <v>41</v>
      </c>
      <c r="C13" s="2" t="s">
        <v>175</v>
      </c>
      <c r="D13" s="2">
        <v>2</v>
      </c>
      <c r="E13" s="2" t="s">
        <v>43</v>
      </c>
      <c r="F13" s="2" t="s">
        <v>182</v>
      </c>
      <c r="G13" s="2" t="s">
        <v>183</v>
      </c>
      <c r="H13" s="2" t="s">
        <v>1520</v>
      </c>
    </row>
    <row r="14">
      <c r="A14" s="2">
        <v>3</v>
      </c>
      <c r="B14" s="2" t="s">
        <v>82</v>
      </c>
      <c r="C14" s="2" t="s">
        <v>159</v>
      </c>
      <c r="D14" s="2">
        <v>2</v>
      </c>
      <c r="E14" s="2" t="s">
        <v>43</v>
      </c>
      <c r="F14" s="2" t="s">
        <v>165</v>
      </c>
      <c r="G14" s="2" t="s">
        <v>166</v>
      </c>
      <c r="H14" s="2" t="s">
        <v>1521</v>
      </c>
    </row>
    <row r="15">
      <c r="A15" s="2">
        <v>4</v>
      </c>
      <c r="B15" s="2" t="s">
        <v>131</v>
      </c>
      <c r="C15" s="2" t="s">
        <v>132</v>
      </c>
      <c r="D15" s="2">
        <v>2</v>
      </c>
      <c r="E15" s="2" t="s">
        <v>43</v>
      </c>
      <c r="F15" s="2" t="s">
        <v>135</v>
      </c>
      <c r="G15" s="2" t="s">
        <v>136</v>
      </c>
      <c r="H15" s="2" t="s">
        <v>1522</v>
      </c>
    </row>
    <row r="16">
      <c r="A16" s="2">
        <v>5</v>
      </c>
      <c r="B16" s="2" t="s">
        <v>56</v>
      </c>
      <c r="C16" s="2" t="s">
        <v>308</v>
      </c>
      <c r="D16" s="2">
        <v>2</v>
      </c>
      <c r="E16" s="2" t="s">
        <v>43</v>
      </c>
      <c r="F16" s="2" t="s">
        <v>310</v>
      </c>
      <c r="G16" s="2" t="s">
        <v>311</v>
      </c>
      <c r="H16" s="2" t="s">
        <v>1523</v>
      </c>
    </row>
    <row r="17">
      <c r="A17" s="2">
        <v>6</v>
      </c>
      <c r="B17" s="2" t="s">
        <v>117</v>
      </c>
      <c r="C17" s="2" t="s">
        <v>118</v>
      </c>
      <c r="D17" s="2">
        <v>2</v>
      </c>
      <c r="E17" s="2" t="s">
        <v>43</v>
      </c>
      <c r="F17" s="2" t="s">
        <v>121</v>
      </c>
      <c r="G17" s="2" t="s">
        <v>122</v>
      </c>
      <c r="H17" s="2" t="s">
        <v>1524</v>
      </c>
    </row>
    <row r="18">
      <c r="A18" s="2">
        <v>7</v>
      </c>
      <c r="B18" s="2" t="s">
        <v>41</v>
      </c>
      <c r="C18" s="2" t="s">
        <v>385</v>
      </c>
      <c r="D18" s="2">
        <v>2</v>
      </c>
      <c r="E18" s="2" t="s">
        <v>43</v>
      </c>
      <c r="F18" s="2" t="s">
        <v>67</v>
      </c>
      <c r="G18" s="2" t="s">
        <v>389</v>
      </c>
      <c r="H18" s="2" t="s">
        <v>1525</v>
      </c>
    </row>
    <row r="19">
      <c r="A19" s="2">
        <v>8</v>
      </c>
      <c r="B19" s="2" t="s">
        <v>41</v>
      </c>
      <c r="C19" s="2" t="s">
        <v>202</v>
      </c>
      <c r="D19" s="2">
        <v>2</v>
      </c>
      <c r="E19" s="2" t="s">
        <v>43</v>
      </c>
      <c r="F19" s="2" t="s">
        <v>207</v>
      </c>
      <c r="G19" s="2" t="s">
        <v>208</v>
      </c>
      <c r="H19" s="2" t="s">
        <v>1526</v>
      </c>
    </row>
    <row r="20">
      <c r="A20" s="2">
        <v>9</v>
      </c>
      <c r="B20" s="2" t="s">
        <v>110</v>
      </c>
      <c r="C20" s="2" t="s">
        <v>457</v>
      </c>
      <c r="D20" s="2">
        <v>2</v>
      </c>
      <c r="E20" s="2" t="s">
        <v>43</v>
      </c>
      <c r="F20" s="2" t="s">
        <v>249</v>
      </c>
      <c r="G20" s="2" t="s">
        <v>461</v>
      </c>
      <c r="H20" s="2" t="s">
        <v>1527</v>
      </c>
    </row>
    <row r="21">
      <c r="A21" s="2">
        <v>10</v>
      </c>
      <c r="B21" s="2" t="s">
        <v>41</v>
      </c>
      <c r="C21" s="2" t="s">
        <v>331</v>
      </c>
      <c r="D21" s="2">
        <v>2</v>
      </c>
      <c r="E21" s="2" t="s">
        <v>43</v>
      </c>
      <c r="F21" s="2" t="s">
        <v>333</v>
      </c>
      <c r="G21" s="2" t="s">
        <v>334</v>
      </c>
      <c r="H21" s="2" t="s">
        <v>1528</v>
      </c>
    </row>
    <row r="22">
      <c r="A22" s="2">
        <v>11</v>
      </c>
      <c r="B22" s="2" t="s">
        <v>41</v>
      </c>
      <c r="C22" s="2" t="s">
        <v>370</v>
      </c>
      <c r="D22" s="2">
        <v>2</v>
      </c>
      <c r="E22" s="2" t="s">
        <v>43</v>
      </c>
      <c r="F22" s="2" t="s">
        <v>375</v>
      </c>
      <c r="G22" s="2" t="s">
        <v>376</v>
      </c>
      <c r="H22" s="2" t="s">
        <v>1529</v>
      </c>
    </row>
    <row r="23">
      <c r="A23" s="2">
        <v>12</v>
      </c>
      <c r="B23" s="2" t="s">
        <v>41</v>
      </c>
      <c r="C23" s="2" t="s">
        <v>42</v>
      </c>
      <c r="D23" s="2">
        <v>2</v>
      </c>
      <c r="E23" s="2" t="s">
        <v>43</v>
      </c>
      <c r="F23" s="2" t="s">
        <v>53</v>
      </c>
      <c r="G23" s="2" t="s">
        <v>54</v>
      </c>
      <c r="H23" s="2" t="s">
        <v>1530</v>
      </c>
    </row>
    <row r="24">
      <c r="A24" s="2">
        <v>13</v>
      </c>
      <c r="B24" s="2" t="s">
        <v>117</v>
      </c>
      <c r="C24" s="2" t="s">
        <v>284</v>
      </c>
      <c r="D24" s="2">
        <v>2</v>
      </c>
      <c r="E24" s="2" t="s">
        <v>43</v>
      </c>
      <c r="F24" s="2" t="s">
        <v>287</v>
      </c>
      <c r="G24" s="2" t="s">
        <v>288</v>
      </c>
      <c r="H24" s="2" t="s">
        <v>1531</v>
      </c>
    </row>
    <row r="25">
      <c r="A25" s="2">
        <v>14</v>
      </c>
      <c r="B25" s="2" t="s">
        <v>117</v>
      </c>
      <c r="C25" s="2" t="s">
        <v>256</v>
      </c>
      <c r="D25" s="2">
        <v>2</v>
      </c>
      <c r="E25" s="2" t="s">
        <v>43</v>
      </c>
      <c r="F25" s="2" t="s">
        <v>261</v>
      </c>
      <c r="G25" s="2" t="s">
        <v>262</v>
      </c>
      <c r="H25" s="2" t="s">
        <v>1532</v>
      </c>
    </row>
    <row r="26">
      <c r="A26" s="2">
        <v>15</v>
      </c>
      <c r="B26" s="2" t="s">
        <v>110</v>
      </c>
      <c r="C26" s="2" t="s">
        <v>124</v>
      </c>
      <c r="D26" s="2">
        <v>2</v>
      </c>
      <c r="E26" s="2" t="s">
        <v>43</v>
      </c>
      <c r="F26" s="2" t="s">
        <v>128</v>
      </c>
      <c r="G26" s="2" t="s">
        <v>129</v>
      </c>
      <c r="H26" s="2" t="s">
        <v>1533</v>
      </c>
    </row>
    <row r="27">
      <c r="A27" s="2">
        <v>16</v>
      </c>
      <c r="B27" s="2" t="s">
        <v>82</v>
      </c>
      <c r="C27" s="2" t="s">
        <v>482</v>
      </c>
      <c r="D27" s="2">
        <v>2</v>
      </c>
      <c r="E27" s="2" t="s">
        <v>43</v>
      </c>
      <c r="F27" s="2" t="s">
        <v>172</v>
      </c>
      <c r="G27" s="2" t="s">
        <v>485</v>
      </c>
      <c r="H27" s="2" t="s">
        <v>1534</v>
      </c>
    </row>
    <row r="28">
      <c r="A28" s="2">
        <v>17</v>
      </c>
      <c r="B28" s="2" t="s">
        <v>117</v>
      </c>
      <c r="C28" s="2" t="s">
        <v>564</v>
      </c>
      <c r="D28" s="2">
        <v>2</v>
      </c>
      <c r="E28" s="2" t="s">
        <v>43</v>
      </c>
      <c r="F28" s="2" t="s">
        <v>567</v>
      </c>
      <c r="G28" s="2" t="s">
        <v>568</v>
      </c>
      <c r="H28" s="2" t="s">
        <v>1535</v>
      </c>
    </row>
    <row r="29">
      <c r="A29" s="2">
        <v>18</v>
      </c>
      <c r="B29" s="2" t="s">
        <v>110</v>
      </c>
      <c r="C29" s="2" t="s">
        <v>519</v>
      </c>
      <c r="D29" s="2">
        <v>2</v>
      </c>
      <c r="E29" s="2" t="s">
        <v>43</v>
      </c>
      <c r="F29" s="2" t="s">
        <v>249</v>
      </c>
      <c r="G29" s="2" t="s">
        <v>520</v>
      </c>
      <c r="H29" s="2" t="s">
        <v>1536</v>
      </c>
    </row>
  </sheetData>
  <mergeCells count="2">
    <mergeCell ref="A1:H1"/>
    <mergeCell ref="A10:H1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4"/>
    <col customWidth="1" min="2" max="2" width="23"/>
    <col customWidth="1" min="3" max="3" width="58"/>
    <col customWidth="1" min="4" max="4" width="20"/>
    <col customWidth="1" min="5" max="5" width="34"/>
    <col customWidth="1" min="6" max="6" width="62"/>
  </cols>
  <sheetData>
    <row r="1">
      <c r="A1" s="6" t="s">
        <v>1537</v>
      </c>
      <c r="B1" s="6"/>
      <c r="C1" s="6"/>
      <c r="D1" s="6"/>
      <c r="E1" s="6"/>
      <c r="F1" s="6"/>
    </row>
    <row r="3">
      <c r="A3" s="4" t="s">
        <v>1502</v>
      </c>
      <c r="B3" s="4" t="s">
        <v>1503</v>
      </c>
      <c r="D3" s="4" t="s">
        <v>6</v>
      </c>
      <c r="E3" s="4" t="s">
        <v>1503</v>
      </c>
    </row>
    <row r="4">
      <c r="A4" t="s">
        <v>1538</v>
      </c>
      <c r="B4">
        <f>COUNTIF('All search hits'!A:A,"Bee toxicity ML")</f>
        <v>91</v>
      </c>
      <c r="D4" t="s">
        <v>27</v>
      </c>
      <c r="E4">
        <f>COUNTIF(Screening!G:G,"High")</f>
        <v>83</v>
      </c>
    </row>
    <row r="5">
      <c r="A5" t="s">
        <v>1539</v>
      </c>
      <c r="B5">
        <f>COUNTIF('All search hits'!A:A,"Molecular toxicity ML")</f>
        <v>94</v>
      </c>
      <c r="D5" t="s">
        <v>73</v>
      </c>
      <c r="E5">
        <f>COUNTIF(Screening!G:G,"Medium")</f>
        <v>148</v>
      </c>
    </row>
    <row r="6">
      <c r="A6" t="s">
        <v>1540</v>
      </c>
      <c r="B6">
        <f>COUNTIF('All search hits'!A:A,"QML molecular")</f>
        <v>96</v>
      </c>
      <c r="D6" t="s">
        <v>59</v>
      </c>
      <c r="E6">
        <f>COUNTIF(Screening!G:G,"Low")</f>
        <v>32</v>
      </c>
    </row>
    <row r="7">
      <c r="A7" t="s">
        <v>1541</v>
      </c>
      <c r="B7">
        <f>COUNTA('All search hits'!D:D)-1</f>
        <v>281</v>
      </c>
      <c r="D7" t="s">
        <v>1542</v>
      </c>
      <c r="E7">
        <f>COUNTA(Screening!C:C)-1</f>
        <v>263</v>
      </c>
    </row>
    <row r="8">
      <c r="A8" t="s">
        <v>1543</v>
      </c>
      <c r="B8">
        <f>COUNTA(Screening!C:C)-1</f>
        <v>263</v>
      </c>
    </row>
    <row r="9">
      <c r="A9" t="s">
        <v>1544</v>
      </c>
      <c r="B9">
        <f>COUNTA(Duplicates!C12:C1000)</f>
        <v>18</v>
      </c>
    </row>
    <row r="10">
      <c r="A10" t="s">
        <v>26</v>
      </c>
      <c r="B10">
        <f>COUNTIF(Screening!F:F,"Core")</f>
        <v>135</v>
      </c>
    </row>
    <row r="11">
      <c r="A11" t="s">
        <v>72</v>
      </c>
      <c r="B11">
        <f>COUNTIF(Screening!F:F,"Supporting")</f>
        <v>96</v>
      </c>
    </row>
    <row r="12">
      <c r="A12" t="s">
        <v>58</v>
      </c>
      <c r="B12">
        <f>COUNTIF(Screening!F:F,"Exclude")</f>
        <v>32</v>
      </c>
    </row>
    <row r="14">
      <c r="A14" s="5" t="s">
        <v>1545</v>
      </c>
      <c r="B14" s="5"/>
      <c r="C14" s="5"/>
      <c r="D14" s="5"/>
      <c r="E14" s="5"/>
      <c r="F14" s="5"/>
    </row>
    <row r="15">
      <c r="A15" s="2" t="s">
        <v>1546</v>
      </c>
      <c r="B15" s="2" t="s">
        <v>1547</v>
      </c>
      <c r="C15" s="2" t="s">
        <v>1548</v>
      </c>
      <c r="D15" s="2"/>
      <c r="E15" s="2"/>
      <c r="F15" s="2"/>
    </row>
    <row r="16">
      <c r="A16" s="2" t="s">
        <v>1549</v>
      </c>
      <c r="B16" s="2" t="s">
        <v>1550</v>
      </c>
      <c r="C16" s="2" t="s">
        <v>1551</v>
      </c>
      <c r="D16" s="2"/>
      <c r="E16" s="2"/>
      <c r="F16" s="2"/>
    </row>
    <row r="17">
      <c r="A17" s="2" t="s">
        <v>1552</v>
      </c>
      <c r="B17" s="2" t="s">
        <v>1553</v>
      </c>
      <c r="C17" s="2" t="s">
        <v>1554</v>
      </c>
      <c r="D17" s="2"/>
      <c r="E17" s="2"/>
      <c r="F17" s="2"/>
    </row>
    <row r="18">
      <c r="A18" s="2" t="s">
        <v>1555</v>
      </c>
      <c r="B18" s="2" t="s">
        <v>1556</v>
      </c>
      <c r="C18" s="2" t="s">
        <v>1557</v>
      </c>
      <c r="D18" s="2"/>
      <c r="E18" s="2"/>
      <c r="F18" s="2"/>
    </row>
    <row r="19">
      <c r="A19" s="2" t="s">
        <v>1558</v>
      </c>
      <c r="B19" s="2" t="s">
        <v>1559</v>
      </c>
      <c r="C19" s="2" t="s">
        <v>1560</v>
      </c>
      <c r="D19" s="2"/>
      <c r="E19" s="2"/>
      <c r="F19" s="2"/>
    </row>
    <row r="21">
      <c r="A21" s="5" t="s">
        <v>1561</v>
      </c>
      <c r="B21" s="5"/>
      <c r="C21" s="5"/>
      <c r="D21" s="5"/>
      <c r="E21" s="5"/>
      <c r="F21" s="5"/>
    </row>
    <row r="22">
      <c r="A22" s="1" t="s">
        <v>0</v>
      </c>
      <c r="B22" s="1" t="s">
        <v>1</v>
      </c>
      <c r="C22" s="1" t="s">
        <v>1562</v>
      </c>
      <c r="D22" s="1" t="s">
        <v>6</v>
      </c>
      <c r="E22" s="1" t="s">
        <v>1563</v>
      </c>
      <c r="F22" s="1" t="s">
        <v>1564</v>
      </c>
    </row>
    <row r="23">
      <c r="A23" s="2">
        <v>24</v>
      </c>
      <c r="B23" s="2" t="s">
        <v>41</v>
      </c>
      <c r="C23" s="2" t="s">
        <v>214</v>
      </c>
      <c r="D23" s="2" t="s">
        <v>27</v>
      </c>
      <c r="E23" s="2" t="s">
        <v>28</v>
      </c>
      <c r="F23" s="2" t="s">
        <v>37</v>
      </c>
    </row>
    <row r="24">
      <c r="A24" s="2">
        <v>35</v>
      </c>
      <c r="B24" s="2" t="s">
        <v>117</v>
      </c>
      <c r="C24" s="2" t="s">
        <v>284</v>
      </c>
      <c r="D24" s="2" t="s">
        <v>27</v>
      </c>
      <c r="E24" s="2" t="s">
        <v>28</v>
      </c>
      <c r="F24" s="2" t="s">
        <v>37</v>
      </c>
    </row>
    <row r="25">
      <c r="A25" s="2">
        <v>57</v>
      </c>
      <c r="B25" s="2" t="s">
        <v>41</v>
      </c>
      <c r="C25" s="2" t="s">
        <v>394</v>
      </c>
      <c r="D25" s="2" t="s">
        <v>27</v>
      </c>
      <c r="E25" s="2" t="s">
        <v>28</v>
      </c>
      <c r="F25" s="2" t="s">
        <v>37</v>
      </c>
    </row>
    <row r="26">
      <c r="A26" s="2">
        <v>8</v>
      </c>
      <c r="B26" s="2" t="s">
        <v>41</v>
      </c>
      <c r="C26" s="2" t="s">
        <v>103</v>
      </c>
      <c r="D26" s="2" t="s">
        <v>27</v>
      </c>
      <c r="E26" s="2" t="s">
        <v>28</v>
      </c>
      <c r="F26" s="2" t="s">
        <v>37</v>
      </c>
    </row>
    <row r="27">
      <c r="A27" s="2">
        <v>66</v>
      </c>
      <c r="B27" s="2" t="s">
        <v>192</v>
      </c>
      <c r="C27" s="2" t="s">
        <v>439</v>
      </c>
      <c r="D27" s="2" t="s">
        <v>27</v>
      </c>
      <c r="E27" s="2" t="s">
        <v>28</v>
      </c>
      <c r="F27" s="2" t="s">
        <v>37</v>
      </c>
    </row>
    <row r="28">
      <c r="A28" s="2">
        <v>52</v>
      </c>
      <c r="B28" s="2" t="s">
        <v>192</v>
      </c>
      <c r="C28" s="2" t="s">
        <v>365</v>
      </c>
      <c r="D28" s="2" t="s">
        <v>27</v>
      </c>
      <c r="E28" s="2" t="s">
        <v>28</v>
      </c>
      <c r="F28" s="2" t="s">
        <v>37</v>
      </c>
    </row>
    <row r="29">
      <c r="A29" s="2">
        <v>28</v>
      </c>
      <c r="B29" s="2" t="s">
        <v>239</v>
      </c>
      <c r="C29" s="2" t="s">
        <v>240</v>
      </c>
      <c r="D29" s="2" t="s">
        <v>27</v>
      </c>
      <c r="E29" s="2" t="s">
        <v>28</v>
      </c>
      <c r="F29" s="2" t="s">
        <v>37</v>
      </c>
    </row>
    <row r="30">
      <c r="A30" s="2">
        <v>26</v>
      </c>
      <c r="B30" s="2" t="s">
        <v>82</v>
      </c>
      <c r="C30" s="2" t="s">
        <v>228</v>
      </c>
      <c r="D30" s="2" t="s">
        <v>27</v>
      </c>
      <c r="E30" s="2" t="s">
        <v>28</v>
      </c>
      <c r="F30" s="2" t="s">
        <v>37</v>
      </c>
    </row>
    <row r="31">
      <c r="A31" s="2">
        <v>48</v>
      </c>
      <c r="B31" s="2" t="s">
        <v>110</v>
      </c>
      <c r="C31" s="2" t="s">
        <v>347</v>
      </c>
      <c r="D31" s="2" t="s">
        <v>27</v>
      </c>
      <c r="E31" s="2" t="s">
        <v>28</v>
      </c>
      <c r="F31" s="2" t="s">
        <v>37</v>
      </c>
    </row>
    <row r="32">
      <c r="A32" s="2">
        <v>246</v>
      </c>
      <c r="B32" s="2" t="s">
        <v>110</v>
      </c>
      <c r="C32" s="2" t="s">
        <v>1411</v>
      </c>
      <c r="D32" s="2" t="s">
        <v>27</v>
      </c>
      <c r="E32" s="2" t="s">
        <v>981</v>
      </c>
      <c r="F32" s="2" t="s">
        <v>986</v>
      </c>
    </row>
    <row r="33">
      <c r="A33" s="2">
        <v>230</v>
      </c>
      <c r="B33" s="2" t="s">
        <v>56</v>
      </c>
      <c r="C33" s="2" t="s">
        <v>1325</v>
      </c>
      <c r="D33" s="2" t="s">
        <v>73</v>
      </c>
      <c r="E33" s="2" t="s">
        <v>991</v>
      </c>
      <c r="F33" s="2" t="s">
        <v>993</v>
      </c>
    </row>
    <row r="34">
      <c r="A34" s="2">
        <v>247</v>
      </c>
      <c r="B34" s="2" t="s">
        <v>117</v>
      </c>
      <c r="C34" s="2" t="s">
        <v>1417</v>
      </c>
      <c r="D34" s="2" t="s">
        <v>27</v>
      </c>
      <c r="E34" s="2" t="s">
        <v>981</v>
      </c>
      <c r="F34" s="2" t="s">
        <v>986</v>
      </c>
    </row>
    <row r="35">
      <c r="A35" s="2">
        <v>215</v>
      </c>
      <c r="B35" s="2" t="s">
        <v>117</v>
      </c>
      <c r="C35" s="2" t="s">
        <v>1248</v>
      </c>
      <c r="D35" s="2" t="s">
        <v>27</v>
      </c>
      <c r="E35" s="2" t="s">
        <v>981</v>
      </c>
      <c r="F35" s="2" t="s">
        <v>986</v>
      </c>
    </row>
    <row r="36">
      <c r="A36" s="2">
        <v>251</v>
      </c>
      <c r="B36" s="2" t="s">
        <v>117</v>
      </c>
      <c r="C36" s="2" t="s">
        <v>1435</v>
      </c>
      <c r="D36" s="2" t="s">
        <v>27</v>
      </c>
      <c r="E36" s="2" t="s">
        <v>981</v>
      </c>
      <c r="F36" s="2" t="s">
        <v>986</v>
      </c>
    </row>
    <row r="37">
      <c r="A37" s="2">
        <v>175</v>
      </c>
      <c r="B37" s="2" t="s">
        <v>117</v>
      </c>
      <c r="C37" s="2" t="s">
        <v>1028</v>
      </c>
      <c r="D37" s="2" t="s">
        <v>27</v>
      </c>
      <c r="E37" s="2" t="s">
        <v>981</v>
      </c>
      <c r="F37" s="2" t="s">
        <v>986</v>
      </c>
    </row>
    <row r="38">
      <c r="A38" s="2">
        <v>255</v>
      </c>
      <c r="B38" s="2" t="s">
        <v>117</v>
      </c>
      <c r="C38" s="2" t="s">
        <v>1457</v>
      </c>
      <c r="D38" s="2" t="s">
        <v>73</v>
      </c>
      <c r="E38" s="2" t="s">
        <v>991</v>
      </c>
      <c r="F38" s="2" t="s">
        <v>993</v>
      </c>
    </row>
    <row r="39">
      <c r="A39" s="2">
        <v>17</v>
      </c>
      <c r="B39" s="2" t="s">
        <v>117</v>
      </c>
      <c r="C39" s="2" t="s">
        <v>168</v>
      </c>
      <c r="D39" s="2" t="s">
        <v>73</v>
      </c>
      <c r="E39" s="2" t="s">
        <v>45</v>
      </c>
      <c r="F39" s="2" t="s">
        <v>52</v>
      </c>
    </row>
    <row r="40">
      <c r="A40" s="2">
        <v>22</v>
      </c>
      <c r="B40" s="2" t="s">
        <v>41</v>
      </c>
      <c r="C40" s="2" t="s">
        <v>202</v>
      </c>
      <c r="D40" s="2" t="s">
        <v>27</v>
      </c>
      <c r="E40" s="2" t="s">
        <v>45</v>
      </c>
      <c r="F40" s="2" t="s">
        <v>52</v>
      </c>
    </row>
    <row r="42">
      <c r="A42" s="5" t="s">
        <v>1565</v>
      </c>
      <c r="B42" s="5"/>
      <c r="C42" s="5"/>
      <c r="D42" s="5"/>
      <c r="E42" s="5"/>
      <c r="F42" s="5"/>
    </row>
    <row r="43">
      <c r="A43" s="2" t="s">
        <v>1566</v>
      </c>
      <c r="B43" s="2"/>
      <c r="C43" s="2"/>
      <c r="D43" s="2"/>
      <c r="E43" s="2"/>
      <c r="F43" s="2"/>
    </row>
    <row r="44">
      <c r="A44" s="2"/>
      <c r="B44" s="2"/>
      <c r="C44" s="2"/>
      <c r="D44" s="2"/>
      <c r="E44" s="2"/>
      <c r="F44" s="2"/>
    </row>
    <row r="45">
      <c r="A45" s="7" t="s">
        <v>1567</v>
      </c>
      <c r="B45" s="7"/>
      <c r="C45" s="7"/>
      <c r="D45" s="7"/>
      <c r="E45" s="7"/>
      <c r="F45" s="7"/>
    </row>
    <row r="46">
      <c r="A46" s="8" t="s">
        <v>1568</v>
      </c>
      <c r="B46" s="8" t="s">
        <v>1503</v>
      </c>
      <c r="C46" s="2"/>
      <c r="D46" s="2" t="s">
        <v>1569</v>
      </c>
      <c r="E46" s="2"/>
      <c r="F46" s="2"/>
    </row>
    <row r="47">
      <c r="A47" s="2" t="s">
        <v>1570</v>
      </c>
      <c r="B47" s="2">
        <f>COUNTIF('Stage 2 triage'!M:M,"A — Must read")</f>
        <v>32</v>
      </c>
      <c r="C47" s="2"/>
      <c r="D47" s="2"/>
      <c r="E47" s="2"/>
      <c r="F47" s="2"/>
    </row>
    <row r="48">
      <c r="A48" t="s">
        <v>1571</v>
      </c>
      <c r="B48">
        <f>COUNTIF('Stage 2 triage'!M:M,"B — Targeted skim")</f>
        <v>45</v>
      </c>
      <c r="D48" s="2"/>
      <c r="E48" s="2"/>
      <c r="F48" s="2"/>
    </row>
    <row r="49">
      <c r="A49" t="s">
        <v>1572</v>
      </c>
      <c r="B49">
        <f>COUNTIF('Stage 2 triage'!M:M,"C — Background only")</f>
        <v>154</v>
      </c>
      <c r="D49" s="2"/>
      <c r="E49" s="2"/>
      <c r="F49" s="2"/>
    </row>
    <row r="50">
      <c r="A50" t="s">
        <v>1573</v>
      </c>
      <c r="B50">
        <f>SUM(B47:B49)</f>
        <v>231</v>
      </c>
      <c r="D50" s="2"/>
      <c r="E50" s="2"/>
      <c r="F50" s="2"/>
    </row>
  </sheetData>
  <mergeCells count="7">
    <mergeCell ref="A1:F1"/>
    <mergeCell ref="A14:F14"/>
    <mergeCell ref="A21:F21"/>
    <mergeCell ref="A42:F42"/>
    <mergeCell ref="A43:F47"/>
    <mergeCell ref="A45:F45"/>
    <mergeCell ref="D46:F5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25"/>
    <col customWidth="1" min="2" max="2" width="55"/>
    <col customWidth="1" min="3" max="3" width="14"/>
    <col customWidth="1" min="4" max="4" width="95"/>
  </cols>
  <sheetData>
    <row r="1">
      <c r="A1" s="9" t="s">
        <v>1574</v>
      </c>
      <c r="B1" s="9"/>
      <c r="C1" s="9"/>
      <c r="D1" s="9"/>
    </row>
    <row r="3">
      <c r="A3" s="1" t="s">
        <v>1575</v>
      </c>
      <c r="B3" s="1" t="s">
        <v>1576</v>
      </c>
      <c r="C3" s="1" t="s">
        <v>1577</v>
      </c>
      <c r="D3" s="1" t="s">
        <v>1578</v>
      </c>
    </row>
    <row r="4">
      <c r="A4" s="2" t="s">
        <v>24</v>
      </c>
      <c r="B4" s="2" t="s">
        <v>1579</v>
      </c>
      <c r="C4" s="2">
        <v>91</v>
      </c>
      <c r="D4" s="2" t="s">
        <v>1580</v>
      </c>
    </row>
    <row r="5">
      <c r="A5" s="2" t="s">
        <v>572</v>
      </c>
      <c r="B5" s="2" t="s">
        <v>1581</v>
      </c>
      <c r="C5" s="2">
        <v>94</v>
      </c>
      <c r="D5" s="2" t="s">
        <v>1582</v>
      </c>
    </row>
    <row r="6">
      <c r="A6" s="2" t="s">
        <v>980</v>
      </c>
      <c r="B6" s="2" t="s">
        <v>1583</v>
      </c>
      <c r="C6" s="2">
        <v>96</v>
      </c>
      <c r="D6" s="2" t="s">
        <v>1584</v>
      </c>
    </row>
  </sheetData>
  <mergeCells count="1">
    <mergeCell ref="A1:D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23"/>
    <col customWidth="1" min="2" max="2" width="10"/>
    <col customWidth="1" min="3" max="3" width="8"/>
    <col customWidth="1" min="4" max="4" width="55"/>
    <col customWidth="1" min="5" max="5" width="35"/>
    <col customWidth="1" min="6" max="6" width="30"/>
    <col customWidth="1" min="7" max="7" width="10"/>
    <col customWidth="1" min="8" max="8" width="32"/>
    <col customWidth="1" min="9" max="9" width="36"/>
    <col customWidth="1" min="10" max="11" width="18"/>
    <col customWidth="1" min="12" max="12" width="90"/>
  </cols>
  <sheetData>
    <row r="1">
      <c r="A1" s="1" t="s">
        <v>1575</v>
      </c>
      <c r="B1" s="1" t="s">
        <v>1585</v>
      </c>
      <c r="C1" s="1" t="s">
        <v>1</v>
      </c>
      <c r="D1" s="1" t="s">
        <v>2</v>
      </c>
      <c r="E1" s="1" t="s">
        <v>1586</v>
      </c>
      <c r="F1" s="1" t="s">
        <v>18</v>
      </c>
      <c r="G1" s="1" t="s">
        <v>1587</v>
      </c>
      <c r="H1" s="1" t="s">
        <v>19</v>
      </c>
      <c r="I1" s="1" t="s">
        <v>20</v>
      </c>
      <c r="J1" s="1" t="s">
        <v>1588</v>
      </c>
      <c r="K1" s="1" t="s">
        <v>1589</v>
      </c>
      <c r="L1" s="1" t="s">
        <v>1590</v>
      </c>
    </row>
    <row r="2">
      <c r="A2" s="2" t="s">
        <v>24</v>
      </c>
      <c r="B2" s="2">
        <v>1</v>
      </c>
      <c r="C2" s="2" t="s">
        <v>22</v>
      </c>
      <c r="D2" s="2" t="s">
        <v>23</v>
      </c>
      <c r="E2" s="2" t="s">
        <v>1591</v>
      </c>
      <c r="F2" s="2" t="s">
        <v>38</v>
      </c>
      <c r="G2" s="2" t="s">
        <v>1592</v>
      </c>
      <c r="H2" s="2" t="s">
        <v>39</v>
      </c>
      <c r="I2" s="2" t="s">
        <v>40</v>
      </c>
      <c r="J2" s="2" t="s">
        <v>1593</v>
      </c>
      <c r="K2" s="2"/>
      <c r="L2" s="2" t="s">
        <v>1594</v>
      </c>
    </row>
    <row r="3">
      <c r="A3" s="2" t="s">
        <v>24</v>
      </c>
      <c r="B3" s="2">
        <v>2</v>
      </c>
      <c r="C3" s="2" t="s">
        <v>41</v>
      </c>
      <c r="D3" s="2" t="s">
        <v>42</v>
      </c>
      <c r="E3" s="2" t="s">
        <v>1595</v>
      </c>
      <c r="F3" s="2" t="s">
        <v>53</v>
      </c>
      <c r="G3" s="2" t="s">
        <v>1596</v>
      </c>
      <c r="H3" s="2" t="s">
        <v>54</v>
      </c>
      <c r="I3" s="2" t="s">
        <v>55</v>
      </c>
      <c r="J3" s="2" t="s">
        <v>1597</v>
      </c>
      <c r="K3" s="2"/>
      <c r="L3" s="2" t="s">
        <v>1598</v>
      </c>
    </row>
    <row r="4">
      <c r="A4" s="2" t="s">
        <v>24</v>
      </c>
      <c r="B4" s="2">
        <v>3</v>
      </c>
      <c r="C4" s="2" t="s">
        <v>56</v>
      </c>
      <c r="D4" s="2" t="s">
        <v>57</v>
      </c>
      <c r="E4" s="2" t="s">
        <v>1599</v>
      </c>
      <c r="F4" s="2" t="s">
        <v>67</v>
      </c>
      <c r="G4" s="2" t="s">
        <v>1600</v>
      </c>
      <c r="H4" s="2" t="s">
        <v>68</v>
      </c>
      <c r="I4" s="2" t="s">
        <v>69</v>
      </c>
      <c r="J4" s="2" t="s">
        <v>1593</v>
      </c>
      <c r="K4" s="2"/>
      <c r="L4" s="2" t="s">
        <v>1601</v>
      </c>
    </row>
    <row r="5">
      <c r="A5" s="2" t="s">
        <v>24</v>
      </c>
      <c r="B5" s="2">
        <v>4</v>
      </c>
      <c r="C5" s="2" t="s">
        <v>70</v>
      </c>
      <c r="D5" s="2" t="s">
        <v>71</v>
      </c>
      <c r="E5" s="2" t="s">
        <v>1602</v>
      </c>
      <c r="F5" s="2" t="s">
        <v>78</v>
      </c>
      <c r="G5" s="2" t="s">
        <v>1603</v>
      </c>
      <c r="H5" s="2" t="s">
        <v>79</v>
      </c>
      <c r="I5" s="2" t="s">
        <v>80</v>
      </c>
      <c r="J5" s="2" t="s">
        <v>1593</v>
      </c>
      <c r="K5" s="2" t="s">
        <v>81</v>
      </c>
      <c r="L5" s="2" t="s">
        <v>1604</v>
      </c>
    </row>
    <row r="6">
      <c r="A6" s="2" t="s">
        <v>24</v>
      </c>
      <c r="B6" s="2">
        <v>5</v>
      </c>
      <c r="C6" s="2" t="s">
        <v>82</v>
      </c>
      <c r="D6" s="2" t="s">
        <v>83</v>
      </c>
      <c r="E6" s="2" t="s">
        <v>1605</v>
      </c>
      <c r="F6" s="2" t="s">
        <v>88</v>
      </c>
      <c r="G6" s="2" t="s">
        <v>1606</v>
      </c>
      <c r="H6" s="2" t="s">
        <v>89</v>
      </c>
      <c r="I6" s="2" t="s">
        <v>90</v>
      </c>
      <c r="J6" s="2" t="s">
        <v>1593</v>
      </c>
      <c r="K6" s="2"/>
      <c r="L6" s="2" t="s">
        <v>1607</v>
      </c>
    </row>
    <row r="7">
      <c r="A7" s="2" t="s">
        <v>24</v>
      </c>
      <c r="B7" s="2">
        <v>6</v>
      </c>
      <c r="C7" s="2" t="s">
        <v>56</v>
      </c>
      <c r="D7" s="2" t="s">
        <v>91</v>
      </c>
      <c r="E7" s="2" t="s">
        <v>1608</v>
      </c>
      <c r="F7" s="2" t="s">
        <v>94</v>
      </c>
      <c r="G7" s="2" t="s">
        <v>1609</v>
      </c>
      <c r="H7" s="2" t="s">
        <v>95</v>
      </c>
      <c r="I7" s="2" t="s">
        <v>96</v>
      </c>
      <c r="J7" s="2" t="s">
        <v>1593</v>
      </c>
      <c r="K7" s="2" t="s">
        <v>81</v>
      </c>
      <c r="L7" s="2" t="s">
        <v>1610</v>
      </c>
    </row>
    <row r="8">
      <c r="A8" s="2" t="s">
        <v>24</v>
      </c>
      <c r="B8" s="2">
        <v>7</v>
      </c>
      <c r="C8" s="2" t="s">
        <v>41</v>
      </c>
      <c r="D8" s="2" t="s">
        <v>97</v>
      </c>
      <c r="E8" s="2" t="s">
        <v>1611</v>
      </c>
      <c r="F8" s="2" t="s">
        <v>100</v>
      </c>
      <c r="G8" s="2" t="s">
        <v>1606</v>
      </c>
      <c r="H8" s="2" t="s">
        <v>101</v>
      </c>
      <c r="I8" s="2" t="s">
        <v>102</v>
      </c>
      <c r="J8" s="2" t="s">
        <v>1593</v>
      </c>
      <c r="K8" s="2"/>
      <c r="L8" s="2" t="s">
        <v>1612</v>
      </c>
    </row>
    <row r="9">
      <c r="A9" s="2" t="s">
        <v>24</v>
      </c>
      <c r="B9" s="2">
        <v>8</v>
      </c>
      <c r="C9" s="2" t="s">
        <v>41</v>
      </c>
      <c r="D9" s="2" t="s">
        <v>103</v>
      </c>
      <c r="E9" s="2" t="s">
        <v>1613</v>
      </c>
      <c r="F9" s="2" t="s">
        <v>107</v>
      </c>
      <c r="G9" s="2" t="s">
        <v>1606</v>
      </c>
      <c r="H9" s="2" t="s">
        <v>108</v>
      </c>
      <c r="I9" s="2" t="s">
        <v>109</v>
      </c>
      <c r="J9" s="2" t="s">
        <v>1593</v>
      </c>
      <c r="K9" s="2"/>
      <c r="L9" s="2" t="s">
        <v>1614</v>
      </c>
    </row>
    <row r="10">
      <c r="A10" s="2" t="s">
        <v>24</v>
      </c>
      <c r="B10" s="2">
        <v>9</v>
      </c>
      <c r="C10" s="2" t="s">
        <v>110</v>
      </c>
      <c r="D10" s="2" t="s">
        <v>111</v>
      </c>
      <c r="E10" s="2" t="s">
        <v>1615</v>
      </c>
      <c r="F10" s="2" t="s">
        <v>114</v>
      </c>
      <c r="G10" s="2" t="s">
        <v>1616</v>
      </c>
      <c r="H10" s="2" t="s">
        <v>115</v>
      </c>
      <c r="I10" s="2" t="s">
        <v>116</v>
      </c>
      <c r="J10" s="2" t="s">
        <v>1593</v>
      </c>
      <c r="K10" s="2" t="s">
        <v>81</v>
      </c>
      <c r="L10" s="2" t="s">
        <v>1617</v>
      </c>
    </row>
    <row r="11">
      <c r="A11" s="2" t="s">
        <v>24</v>
      </c>
      <c r="B11" s="2">
        <v>10</v>
      </c>
      <c r="C11" s="2" t="s">
        <v>117</v>
      </c>
      <c r="D11" s="2" t="s">
        <v>118</v>
      </c>
      <c r="E11" s="2" t="s">
        <v>1618</v>
      </c>
      <c r="F11" s="2" t="s">
        <v>121</v>
      </c>
      <c r="G11" s="2" t="s">
        <v>1596</v>
      </c>
      <c r="H11" s="2" t="s">
        <v>122</v>
      </c>
      <c r="I11" s="2" t="s">
        <v>123</v>
      </c>
      <c r="J11" s="2" t="s">
        <v>1619</v>
      </c>
      <c r="K11" s="2"/>
      <c r="L11" s="2" t="s">
        <v>1620</v>
      </c>
    </row>
    <row r="12">
      <c r="A12" s="2" t="s">
        <v>24</v>
      </c>
      <c r="B12" s="2">
        <v>11</v>
      </c>
      <c r="C12" s="2" t="s">
        <v>110</v>
      </c>
      <c r="D12" s="2" t="s">
        <v>124</v>
      </c>
      <c r="E12" s="2" t="s">
        <v>1621</v>
      </c>
      <c r="F12" s="2" t="s">
        <v>128</v>
      </c>
      <c r="G12" s="2" t="s">
        <v>1622</v>
      </c>
      <c r="H12" s="2" t="s">
        <v>129</v>
      </c>
      <c r="I12" s="2" t="s">
        <v>130</v>
      </c>
      <c r="J12" s="2" t="s">
        <v>1593</v>
      </c>
      <c r="K12" s="2"/>
      <c r="L12" s="2" t="s">
        <v>1623</v>
      </c>
    </row>
    <row r="13">
      <c r="A13" s="2" t="s">
        <v>24</v>
      </c>
      <c r="B13" s="2">
        <v>12</v>
      </c>
      <c r="C13" s="2" t="s">
        <v>131</v>
      </c>
      <c r="D13" s="2" t="s">
        <v>132</v>
      </c>
      <c r="E13" s="2" t="s">
        <v>1624</v>
      </c>
      <c r="F13" s="2" t="s">
        <v>135</v>
      </c>
      <c r="G13" s="2" t="s">
        <v>1625</v>
      </c>
      <c r="H13" s="2" t="s">
        <v>136</v>
      </c>
      <c r="I13" s="2" t="s">
        <v>137</v>
      </c>
      <c r="J13" s="2" t="s">
        <v>1593</v>
      </c>
      <c r="K13" s="2"/>
      <c r="L13" s="2" t="s">
        <v>1626</v>
      </c>
    </row>
    <row r="14">
      <c r="A14" s="2" t="s">
        <v>24</v>
      </c>
      <c r="B14" s="2">
        <v>13</v>
      </c>
      <c r="C14" s="2" t="s">
        <v>70</v>
      </c>
      <c r="D14" s="2" t="s">
        <v>138</v>
      </c>
      <c r="E14" s="2" t="s">
        <v>1627</v>
      </c>
      <c r="F14" s="2" t="s">
        <v>142</v>
      </c>
      <c r="G14" s="2" t="s">
        <v>1628</v>
      </c>
      <c r="H14" s="2" t="s">
        <v>143</v>
      </c>
      <c r="I14" s="2" t="s">
        <v>144</v>
      </c>
      <c r="J14" s="2" t="s">
        <v>1593</v>
      </c>
      <c r="K14" s="2" t="s">
        <v>145</v>
      </c>
      <c r="L14" s="2" t="s">
        <v>1629</v>
      </c>
    </row>
    <row r="15">
      <c r="A15" s="2" t="s">
        <v>24</v>
      </c>
      <c r="B15" s="2">
        <v>14</v>
      </c>
      <c r="C15" s="2" t="s">
        <v>110</v>
      </c>
      <c r="D15" s="2" t="s">
        <v>146</v>
      </c>
      <c r="E15" s="2" t="s">
        <v>1630</v>
      </c>
      <c r="F15" s="2" t="s">
        <v>149</v>
      </c>
      <c r="G15" s="2" t="s">
        <v>1631</v>
      </c>
      <c r="H15" s="2" t="s">
        <v>150</v>
      </c>
      <c r="I15" s="2" t="s">
        <v>151</v>
      </c>
      <c r="J15" s="2" t="s">
        <v>1593</v>
      </c>
      <c r="K15" s="2" t="s">
        <v>152</v>
      </c>
      <c r="L15" s="2" t="s">
        <v>1632</v>
      </c>
    </row>
    <row r="16">
      <c r="A16" s="2" t="s">
        <v>24</v>
      </c>
      <c r="B16" s="2">
        <v>15</v>
      </c>
      <c r="C16" s="2" t="s">
        <v>82</v>
      </c>
      <c r="D16" s="2" t="s">
        <v>153</v>
      </c>
      <c r="E16" s="2" t="s">
        <v>1633</v>
      </c>
      <c r="F16" s="2" t="s">
        <v>156</v>
      </c>
      <c r="G16" s="2" t="s">
        <v>1634</v>
      </c>
      <c r="H16" s="2" t="s">
        <v>157</v>
      </c>
      <c r="I16" s="2" t="s">
        <v>158</v>
      </c>
      <c r="J16" s="2" t="s">
        <v>1593</v>
      </c>
      <c r="K16" s="2" t="s">
        <v>81</v>
      </c>
      <c r="L16" s="2" t="s">
        <v>1635</v>
      </c>
    </row>
    <row r="17">
      <c r="A17" s="2" t="s">
        <v>24</v>
      </c>
      <c r="B17" s="2">
        <v>16</v>
      </c>
      <c r="C17" s="2" t="s">
        <v>82</v>
      </c>
      <c r="D17" s="2" t="s">
        <v>159</v>
      </c>
      <c r="E17" s="2" t="s">
        <v>1636</v>
      </c>
      <c r="F17" s="2" t="s">
        <v>165</v>
      </c>
      <c r="G17" s="2" t="s">
        <v>1637</v>
      </c>
      <c r="H17" s="2" t="s">
        <v>166</v>
      </c>
      <c r="I17" s="2" t="s">
        <v>167</v>
      </c>
      <c r="J17" s="2" t="s">
        <v>1593</v>
      </c>
      <c r="K17" s="2" t="s">
        <v>81</v>
      </c>
      <c r="L17" s="2" t="s">
        <v>1638</v>
      </c>
    </row>
    <row r="18">
      <c r="A18" s="2" t="s">
        <v>24</v>
      </c>
      <c r="B18" s="2">
        <v>17</v>
      </c>
      <c r="C18" s="2" t="s">
        <v>117</v>
      </c>
      <c r="D18" s="2" t="s">
        <v>168</v>
      </c>
      <c r="E18" s="2" t="s">
        <v>1639</v>
      </c>
      <c r="F18" s="2" t="s">
        <v>172</v>
      </c>
      <c r="G18" s="2" t="s">
        <v>1606</v>
      </c>
      <c r="H18" s="2" t="s">
        <v>173</v>
      </c>
      <c r="I18" s="2" t="s">
        <v>174</v>
      </c>
      <c r="J18" s="2" t="s">
        <v>1593</v>
      </c>
      <c r="K18" s="2" t="s">
        <v>81</v>
      </c>
      <c r="L18" s="2" t="s">
        <v>1640</v>
      </c>
    </row>
    <row r="19">
      <c r="A19" s="2" t="s">
        <v>24</v>
      </c>
      <c r="B19" s="2">
        <v>18</v>
      </c>
      <c r="C19" s="2" t="s">
        <v>41</v>
      </c>
      <c r="D19" s="2" t="s">
        <v>175</v>
      </c>
      <c r="E19" s="2" t="s">
        <v>1641</v>
      </c>
      <c r="F19" s="2" t="s">
        <v>182</v>
      </c>
      <c r="G19" s="2" t="s">
        <v>1606</v>
      </c>
      <c r="H19" s="2" t="s">
        <v>183</v>
      </c>
      <c r="I19" s="2" t="s">
        <v>184</v>
      </c>
      <c r="J19" s="2" t="s">
        <v>1593</v>
      </c>
      <c r="K19" s="2"/>
      <c r="L19" s="2" t="s">
        <v>1642</v>
      </c>
    </row>
    <row r="20">
      <c r="A20" s="2" t="s">
        <v>24</v>
      </c>
      <c r="B20" s="2">
        <v>19</v>
      </c>
      <c r="C20" s="2" t="s">
        <v>117</v>
      </c>
      <c r="D20" s="2" t="s">
        <v>185</v>
      </c>
      <c r="E20" s="2" t="s">
        <v>1643</v>
      </c>
      <c r="F20" s="2" t="s">
        <v>188</v>
      </c>
      <c r="G20" s="2" t="s">
        <v>1644</v>
      </c>
      <c r="H20" s="2" t="s">
        <v>189</v>
      </c>
      <c r="I20" s="2" t="s">
        <v>190</v>
      </c>
      <c r="J20" s="2" t="s">
        <v>1593</v>
      </c>
      <c r="K20" s="2" t="s">
        <v>191</v>
      </c>
      <c r="L20" s="2" t="s">
        <v>1645</v>
      </c>
    </row>
    <row r="21">
      <c r="A21" s="2" t="s">
        <v>24</v>
      </c>
      <c r="B21" s="2">
        <v>20</v>
      </c>
      <c r="C21" s="2" t="s">
        <v>192</v>
      </c>
      <c r="D21" s="2" t="s">
        <v>193</v>
      </c>
      <c r="E21" s="2" t="s">
        <v>1646</v>
      </c>
      <c r="F21" s="2" t="s">
        <v>194</v>
      </c>
      <c r="G21" s="2" t="s">
        <v>1647</v>
      </c>
      <c r="H21" s="2" t="s">
        <v>195</v>
      </c>
      <c r="I21" s="2" t="s">
        <v>196</v>
      </c>
      <c r="J21" s="2" t="s">
        <v>1593</v>
      </c>
      <c r="K21" s="2" t="s">
        <v>197</v>
      </c>
      <c r="L21" s="2" t="s">
        <v>1648</v>
      </c>
    </row>
    <row r="22">
      <c r="A22" s="2" t="s">
        <v>24</v>
      </c>
      <c r="B22" s="2">
        <v>21</v>
      </c>
      <c r="C22" s="2" t="s">
        <v>117</v>
      </c>
      <c r="D22" s="2" t="s">
        <v>198</v>
      </c>
      <c r="E22" s="2" t="s">
        <v>1649</v>
      </c>
      <c r="F22" s="2" t="s">
        <v>199</v>
      </c>
      <c r="G22" s="2" t="s">
        <v>1644</v>
      </c>
      <c r="H22" s="2" t="s">
        <v>200</v>
      </c>
      <c r="I22" s="2" t="s">
        <v>201</v>
      </c>
      <c r="J22" s="2" t="s">
        <v>1593</v>
      </c>
      <c r="K22" s="2"/>
      <c r="L22" s="2" t="s">
        <v>1650</v>
      </c>
    </row>
    <row r="23">
      <c r="A23" s="2" t="s">
        <v>24</v>
      </c>
      <c r="B23" s="2">
        <v>22</v>
      </c>
      <c r="C23" s="2" t="s">
        <v>41</v>
      </c>
      <c r="D23" s="2" t="s">
        <v>202</v>
      </c>
      <c r="E23" s="2" t="s">
        <v>1651</v>
      </c>
      <c r="F23" s="2" t="s">
        <v>207</v>
      </c>
      <c r="G23" s="2" t="s">
        <v>1652</v>
      </c>
      <c r="H23" s="2" t="s">
        <v>208</v>
      </c>
      <c r="I23" s="2" t="s">
        <v>209</v>
      </c>
      <c r="J23" s="2" t="s">
        <v>1593</v>
      </c>
      <c r="K23" s="2"/>
      <c r="L23" s="2" t="s">
        <v>1653</v>
      </c>
    </row>
    <row r="24">
      <c r="A24" s="2" t="s">
        <v>24</v>
      </c>
      <c r="B24" s="2">
        <v>23</v>
      </c>
      <c r="C24" s="2" t="s">
        <v>117</v>
      </c>
      <c r="D24" s="2" t="s">
        <v>210</v>
      </c>
      <c r="E24" s="2" t="s">
        <v>1654</v>
      </c>
      <c r="F24" s="2" t="s">
        <v>211</v>
      </c>
      <c r="G24" s="2" t="s">
        <v>1606</v>
      </c>
      <c r="H24" s="2" t="s">
        <v>212</v>
      </c>
      <c r="I24" s="2" t="s">
        <v>213</v>
      </c>
      <c r="J24" s="2" t="s">
        <v>1593</v>
      </c>
      <c r="K24" s="2"/>
      <c r="L24" s="2" t="s">
        <v>1655</v>
      </c>
    </row>
    <row r="25">
      <c r="A25" s="2" t="s">
        <v>24</v>
      </c>
      <c r="B25" s="2">
        <v>24</v>
      </c>
      <c r="C25" s="2" t="s">
        <v>41</v>
      </c>
      <c r="D25" s="2" t="s">
        <v>214</v>
      </c>
      <c r="E25" s="2" t="s">
        <v>1656</v>
      </c>
      <c r="F25" s="2" t="s">
        <v>194</v>
      </c>
      <c r="G25" s="2" t="s">
        <v>1652</v>
      </c>
      <c r="H25" s="2" t="s">
        <v>219</v>
      </c>
      <c r="I25" s="2" t="s">
        <v>220</v>
      </c>
      <c r="J25" s="2" t="s">
        <v>1593</v>
      </c>
      <c r="K25" s="2" t="s">
        <v>81</v>
      </c>
      <c r="L25" s="2" t="s">
        <v>1657</v>
      </c>
    </row>
    <row r="26">
      <c r="A26" s="2" t="s">
        <v>24</v>
      </c>
      <c r="B26" s="2">
        <v>25</v>
      </c>
      <c r="C26" s="2" t="s">
        <v>221</v>
      </c>
      <c r="D26" s="2" t="s">
        <v>222</v>
      </c>
      <c r="E26" s="2" t="s">
        <v>1658</v>
      </c>
      <c r="F26" s="2" t="s">
        <v>128</v>
      </c>
      <c r="G26" s="2" t="s">
        <v>1659</v>
      </c>
      <c r="H26" s="2" t="s">
        <v>226</v>
      </c>
      <c r="I26" s="2" t="s">
        <v>227</v>
      </c>
      <c r="J26" s="2" t="s">
        <v>1593</v>
      </c>
      <c r="K26" s="2"/>
      <c r="L26" s="2" t="s">
        <v>1660</v>
      </c>
    </row>
    <row r="27">
      <c r="A27" s="2" t="s">
        <v>24</v>
      </c>
      <c r="B27" s="2">
        <v>26</v>
      </c>
      <c r="C27" s="2" t="s">
        <v>82</v>
      </c>
      <c r="D27" s="2" t="s">
        <v>228</v>
      </c>
      <c r="E27" s="2" t="s">
        <v>1661</v>
      </c>
      <c r="F27" s="2" t="s">
        <v>231</v>
      </c>
      <c r="G27" s="2" t="s">
        <v>1662</v>
      </c>
      <c r="H27" s="2" t="s">
        <v>232</v>
      </c>
      <c r="I27" s="2" t="s">
        <v>233</v>
      </c>
      <c r="J27" s="2" t="s">
        <v>1593</v>
      </c>
      <c r="K27" s="2"/>
      <c r="L27" s="2" t="s">
        <v>1663</v>
      </c>
    </row>
    <row r="28">
      <c r="A28" s="2" t="s">
        <v>24</v>
      </c>
      <c r="B28" s="2">
        <v>27</v>
      </c>
      <c r="C28" s="2" t="s">
        <v>41</v>
      </c>
      <c r="D28" s="2" t="s">
        <v>234</v>
      </c>
      <c r="E28" s="2" t="s">
        <v>1664</v>
      </c>
      <c r="F28" s="2" t="s">
        <v>194</v>
      </c>
      <c r="G28" s="2" t="s">
        <v>1606</v>
      </c>
      <c r="H28" s="2" t="s">
        <v>237</v>
      </c>
      <c r="I28" s="2" t="s">
        <v>238</v>
      </c>
      <c r="J28" s="2" t="s">
        <v>1593</v>
      </c>
      <c r="K28" s="2" t="s">
        <v>145</v>
      </c>
      <c r="L28" s="2" t="s">
        <v>1665</v>
      </c>
    </row>
    <row r="29">
      <c r="A29" s="2" t="s">
        <v>24</v>
      </c>
      <c r="B29" s="2">
        <v>28</v>
      </c>
      <c r="C29" s="2" t="s">
        <v>239</v>
      </c>
      <c r="D29" s="2" t="s">
        <v>240</v>
      </c>
      <c r="E29" s="2" t="s">
        <v>1666</v>
      </c>
      <c r="F29" s="2" t="s">
        <v>245</v>
      </c>
      <c r="G29" s="2" t="s">
        <v>1667</v>
      </c>
      <c r="H29" s="2" t="s">
        <v>246</v>
      </c>
      <c r="I29" s="2" t="s">
        <v>247</v>
      </c>
      <c r="J29" s="2" t="s">
        <v>1593</v>
      </c>
      <c r="K29" s="2"/>
      <c r="L29" s="2" t="s">
        <v>1668</v>
      </c>
    </row>
    <row r="30">
      <c r="A30" s="2" t="s">
        <v>24</v>
      </c>
      <c r="B30" s="2">
        <v>29</v>
      </c>
      <c r="C30" s="2" t="s">
        <v>110</v>
      </c>
      <c r="D30" s="2" t="s">
        <v>248</v>
      </c>
      <c r="E30" s="2" t="s">
        <v>1669</v>
      </c>
      <c r="F30" s="2" t="s">
        <v>249</v>
      </c>
      <c r="G30" s="2" t="s">
        <v>1670</v>
      </c>
      <c r="H30" s="2" t="s">
        <v>250</v>
      </c>
      <c r="I30" s="2" t="s">
        <v>251</v>
      </c>
      <c r="J30" s="2" t="s">
        <v>1597</v>
      </c>
      <c r="K30" s="2"/>
      <c r="L30" s="2" t="s">
        <v>1671</v>
      </c>
    </row>
    <row r="31">
      <c r="A31" s="2" t="s">
        <v>24</v>
      </c>
      <c r="B31" s="2">
        <v>30</v>
      </c>
      <c r="C31" s="2" t="s">
        <v>41</v>
      </c>
      <c r="D31" s="2" t="s">
        <v>252</v>
      </c>
      <c r="E31" s="2" t="s">
        <v>1672</v>
      </c>
      <c r="F31" s="2" t="s">
        <v>253</v>
      </c>
      <c r="G31" s="2" t="s">
        <v>1596</v>
      </c>
      <c r="H31" s="2" t="s">
        <v>254</v>
      </c>
      <c r="I31" s="2" t="s">
        <v>255</v>
      </c>
      <c r="J31" s="2" t="s">
        <v>1593</v>
      </c>
      <c r="K31" s="2" t="s">
        <v>197</v>
      </c>
      <c r="L31" s="2" t="s">
        <v>1673</v>
      </c>
    </row>
    <row r="32">
      <c r="A32" s="2" t="s">
        <v>24</v>
      </c>
      <c r="B32" s="2">
        <v>31</v>
      </c>
      <c r="C32" s="2" t="s">
        <v>117</v>
      </c>
      <c r="D32" s="2" t="s">
        <v>256</v>
      </c>
      <c r="E32" s="2" t="s">
        <v>1674</v>
      </c>
      <c r="F32" s="2" t="s">
        <v>261</v>
      </c>
      <c r="G32" s="2" t="s">
        <v>1675</v>
      </c>
      <c r="H32" s="2" t="s">
        <v>262</v>
      </c>
      <c r="I32" s="2" t="s">
        <v>263</v>
      </c>
      <c r="J32" s="2" t="s">
        <v>1593</v>
      </c>
      <c r="K32" s="2"/>
      <c r="L32" s="2" t="s">
        <v>1676</v>
      </c>
    </row>
    <row r="33">
      <c r="A33" s="2" t="s">
        <v>24</v>
      </c>
      <c r="B33" s="2">
        <v>32</v>
      </c>
      <c r="C33" s="2" t="s">
        <v>117</v>
      </c>
      <c r="D33" s="2" t="s">
        <v>264</v>
      </c>
      <c r="E33" s="2" t="s">
        <v>1677</v>
      </c>
      <c r="F33" s="2" t="s">
        <v>267</v>
      </c>
      <c r="G33" s="2" t="s">
        <v>1596</v>
      </c>
      <c r="H33" s="2" t="s">
        <v>268</v>
      </c>
      <c r="I33" s="2" t="s">
        <v>269</v>
      </c>
      <c r="J33" s="2" t="s">
        <v>1593</v>
      </c>
      <c r="K33" s="2"/>
      <c r="L33" s="2" t="s">
        <v>1678</v>
      </c>
    </row>
    <row r="34">
      <c r="A34" s="2" t="s">
        <v>24</v>
      </c>
      <c r="B34" s="2">
        <v>33</v>
      </c>
      <c r="C34" s="2" t="s">
        <v>41</v>
      </c>
      <c r="D34" s="2" t="s">
        <v>270</v>
      </c>
      <c r="E34" s="2" t="s">
        <v>1679</v>
      </c>
      <c r="F34" s="2" t="s">
        <v>275</v>
      </c>
      <c r="G34" s="2" t="s">
        <v>1596</v>
      </c>
      <c r="H34" s="2" t="s">
        <v>276</v>
      </c>
      <c r="I34" s="2" t="s">
        <v>277</v>
      </c>
      <c r="J34" s="2" t="s">
        <v>1593</v>
      </c>
      <c r="K34" s="2"/>
      <c r="L34" s="2" t="s">
        <v>1680</v>
      </c>
    </row>
    <row r="35">
      <c r="A35" s="2" t="s">
        <v>24</v>
      </c>
      <c r="B35" s="2">
        <v>34</v>
      </c>
      <c r="C35" s="2" t="s">
        <v>110</v>
      </c>
      <c r="D35" s="2" t="s">
        <v>278</v>
      </c>
      <c r="E35" s="2" t="s">
        <v>1681</v>
      </c>
      <c r="F35" s="2" t="s">
        <v>281</v>
      </c>
      <c r="G35" s="2" t="s">
        <v>1682</v>
      </c>
      <c r="H35" s="2" t="s">
        <v>282</v>
      </c>
      <c r="I35" s="2" t="s">
        <v>283</v>
      </c>
      <c r="J35" s="2" t="s">
        <v>1593</v>
      </c>
      <c r="K35" s="2" t="s">
        <v>191</v>
      </c>
      <c r="L35" s="2" t="s">
        <v>1683</v>
      </c>
    </row>
    <row r="36">
      <c r="A36" s="2" t="s">
        <v>24</v>
      </c>
      <c r="B36" s="2">
        <v>35</v>
      </c>
      <c r="C36" s="2" t="s">
        <v>117</v>
      </c>
      <c r="D36" s="2" t="s">
        <v>284</v>
      </c>
      <c r="E36" s="2" t="s">
        <v>1684</v>
      </c>
      <c r="F36" s="2" t="s">
        <v>287</v>
      </c>
      <c r="G36" s="2" t="s">
        <v>1652</v>
      </c>
      <c r="H36" s="2" t="s">
        <v>288</v>
      </c>
      <c r="I36" s="2" t="s">
        <v>289</v>
      </c>
      <c r="J36" s="2" t="s">
        <v>1593</v>
      </c>
      <c r="K36" s="2"/>
      <c r="L36" s="2" t="s">
        <v>1685</v>
      </c>
    </row>
    <row r="37">
      <c r="A37" s="2" t="s">
        <v>24</v>
      </c>
      <c r="B37" s="2">
        <v>36</v>
      </c>
      <c r="C37" s="2" t="s">
        <v>239</v>
      </c>
      <c r="D37" s="2" t="s">
        <v>290</v>
      </c>
      <c r="E37" s="2" t="s">
        <v>1686</v>
      </c>
      <c r="F37" s="2" t="s">
        <v>107</v>
      </c>
      <c r="G37" s="2" t="s">
        <v>1687</v>
      </c>
      <c r="H37" s="2" t="s">
        <v>292</v>
      </c>
      <c r="I37" s="2" t="s">
        <v>293</v>
      </c>
      <c r="J37" s="2" t="s">
        <v>1593</v>
      </c>
      <c r="K37" s="2"/>
      <c r="L37" s="2" t="s">
        <v>1688</v>
      </c>
    </row>
    <row r="38">
      <c r="A38" s="2" t="s">
        <v>24</v>
      </c>
      <c r="B38" s="2">
        <v>37</v>
      </c>
      <c r="C38" s="2" t="s">
        <v>117</v>
      </c>
      <c r="D38" s="2" t="s">
        <v>294</v>
      </c>
      <c r="E38" s="2" t="s">
        <v>1689</v>
      </c>
      <c r="F38" s="2" t="s">
        <v>295</v>
      </c>
      <c r="G38" s="2" t="s">
        <v>1596</v>
      </c>
      <c r="H38" s="2" t="s">
        <v>296</v>
      </c>
      <c r="I38" s="2" t="s">
        <v>297</v>
      </c>
      <c r="J38" s="2" t="s">
        <v>1593</v>
      </c>
      <c r="K38" s="2"/>
      <c r="L38" s="2" t="s">
        <v>1690</v>
      </c>
    </row>
    <row r="39">
      <c r="A39" s="2" t="s">
        <v>24</v>
      </c>
      <c r="B39" s="2">
        <v>38</v>
      </c>
      <c r="C39" s="2" t="s">
        <v>41</v>
      </c>
      <c r="D39" s="2" t="s">
        <v>298</v>
      </c>
      <c r="E39" s="2" t="s">
        <v>1691</v>
      </c>
      <c r="F39" s="2" t="s">
        <v>100</v>
      </c>
      <c r="G39" s="2" t="s">
        <v>1596</v>
      </c>
      <c r="H39" s="2" t="s">
        <v>299</v>
      </c>
      <c r="I39" s="2" t="s">
        <v>300</v>
      </c>
      <c r="J39" s="2" t="s">
        <v>1593</v>
      </c>
      <c r="K39" s="2"/>
      <c r="L39" s="2" t="s">
        <v>1692</v>
      </c>
    </row>
    <row r="40">
      <c r="A40" s="2" t="s">
        <v>24</v>
      </c>
      <c r="B40" s="2">
        <v>39</v>
      </c>
      <c r="C40" s="2" t="s">
        <v>82</v>
      </c>
      <c r="D40" s="2" t="s">
        <v>301</v>
      </c>
      <c r="E40" s="2" t="s">
        <v>1693</v>
      </c>
      <c r="F40" s="2" t="s">
        <v>94</v>
      </c>
      <c r="G40" s="2" t="s">
        <v>1637</v>
      </c>
      <c r="H40" s="2" t="s">
        <v>306</v>
      </c>
      <c r="I40" s="2" t="s">
        <v>307</v>
      </c>
      <c r="J40" s="2" t="s">
        <v>1593</v>
      </c>
      <c r="K40" s="2" t="s">
        <v>81</v>
      </c>
      <c r="L40" s="2" t="s">
        <v>1694</v>
      </c>
    </row>
    <row r="41">
      <c r="A41" s="2" t="s">
        <v>24</v>
      </c>
      <c r="B41" s="2">
        <v>40</v>
      </c>
      <c r="C41" s="2" t="s">
        <v>56</v>
      </c>
      <c r="D41" s="2" t="s">
        <v>308</v>
      </c>
      <c r="E41" s="2" t="s">
        <v>1695</v>
      </c>
      <c r="F41" s="2" t="s">
        <v>310</v>
      </c>
      <c r="G41" s="2" t="s">
        <v>1606</v>
      </c>
      <c r="H41" s="2" t="s">
        <v>311</v>
      </c>
      <c r="I41" s="2" t="s">
        <v>312</v>
      </c>
      <c r="J41" s="2" t="s">
        <v>1597</v>
      </c>
      <c r="K41" s="2"/>
      <c r="L41" s="2" t="s">
        <v>1696</v>
      </c>
    </row>
    <row r="42">
      <c r="A42" s="2" t="s">
        <v>24</v>
      </c>
      <c r="B42" s="2">
        <v>41</v>
      </c>
      <c r="C42" s="2" t="s">
        <v>221</v>
      </c>
      <c r="D42" s="2" t="s">
        <v>313</v>
      </c>
      <c r="E42" s="2" t="s">
        <v>1697</v>
      </c>
      <c r="F42" s="2" t="s">
        <v>149</v>
      </c>
      <c r="G42" s="2" t="s">
        <v>1698</v>
      </c>
      <c r="H42" s="2" t="s">
        <v>315</v>
      </c>
      <c r="I42" s="2" t="s">
        <v>316</v>
      </c>
      <c r="J42" s="2" t="s">
        <v>1593</v>
      </c>
      <c r="K42" s="2" t="s">
        <v>317</v>
      </c>
      <c r="L42" s="2" t="s">
        <v>1699</v>
      </c>
    </row>
    <row r="43">
      <c r="A43" s="2" t="s">
        <v>24</v>
      </c>
      <c r="B43" s="2">
        <v>42</v>
      </c>
      <c r="C43" s="2" t="s">
        <v>82</v>
      </c>
      <c r="D43" s="2" t="s">
        <v>318</v>
      </c>
      <c r="E43" s="2" t="s">
        <v>1700</v>
      </c>
      <c r="F43" s="2" t="s">
        <v>128</v>
      </c>
      <c r="G43" s="2" t="s">
        <v>1701</v>
      </c>
      <c r="H43" s="2" t="s">
        <v>320</v>
      </c>
      <c r="I43" s="2" t="s">
        <v>321</v>
      </c>
      <c r="J43" s="2" t="s">
        <v>1593</v>
      </c>
      <c r="K43" s="2" t="s">
        <v>152</v>
      </c>
      <c r="L43" s="2" t="s">
        <v>1702</v>
      </c>
    </row>
    <row r="44">
      <c r="A44" s="2" t="s">
        <v>24</v>
      </c>
      <c r="B44" s="2">
        <v>43</v>
      </c>
      <c r="C44" s="2" t="s">
        <v>239</v>
      </c>
      <c r="D44" s="2" t="s">
        <v>322</v>
      </c>
      <c r="E44" s="2" t="s">
        <v>1703</v>
      </c>
      <c r="F44" s="2" t="s">
        <v>324</v>
      </c>
      <c r="G44" s="2" t="s">
        <v>1704</v>
      </c>
      <c r="H44" s="2" t="s">
        <v>325</v>
      </c>
      <c r="I44" s="2" t="s">
        <v>326</v>
      </c>
      <c r="J44" s="2" t="s">
        <v>1593</v>
      </c>
      <c r="K44" s="2"/>
      <c r="L44" s="2" t="s">
        <v>1705</v>
      </c>
    </row>
    <row r="45">
      <c r="A45" s="2" t="s">
        <v>24</v>
      </c>
      <c r="B45" s="2">
        <v>44</v>
      </c>
      <c r="C45" s="2" t="s">
        <v>221</v>
      </c>
      <c r="D45" s="2" t="s">
        <v>327</v>
      </c>
      <c r="E45" s="2" t="s">
        <v>1706</v>
      </c>
      <c r="F45" s="2" t="s">
        <v>281</v>
      </c>
      <c r="G45" s="2" t="s">
        <v>1707</v>
      </c>
      <c r="H45" s="2" t="s">
        <v>329</v>
      </c>
      <c r="I45" s="2" t="s">
        <v>330</v>
      </c>
      <c r="J45" s="2" t="s">
        <v>1593</v>
      </c>
      <c r="K45" s="2"/>
      <c r="L45" s="2" t="s">
        <v>1708</v>
      </c>
    </row>
    <row r="46">
      <c r="A46" s="2" t="s">
        <v>24</v>
      </c>
      <c r="B46" s="2">
        <v>45</v>
      </c>
      <c r="C46" s="2" t="s">
        <v>41</v>
      </c>
      <c r="D46" s="2" t="s">
        <v>331</v>
      </c>
      <c r="E46" s="2" t="s">
        <v>1709</v>
      </c>
      <c r="F46" s="2" t="s">
        <v>333</v>
      </c>
      <c r="G46" s="2" t="s">
        <v>1606</v>
      </c>
      <c r="H46" s="2" t="s">
        <v>334</v>
      </c>
      <c r="I46" s="2" t="s">
        <v>335</v>
      </c>
      <c r="J46" s="2" t="s">
        <v>1593</v>
      </c>
      <c r="K46" s="2" t="s">
        <v>145</v>
      </c>
      <c r="L46" s="2" t="s">
        <v>1710</v>
      </c>
    </row>
    <row r="47">
      <c r="A47" s="2" t="s">
        <v>24</v>
      </c>
      <c r="B47" s="2">
        <v>46</v>
      </c>
      <c r="C47" s="2" t="s">
        <v>239</v>
      </c>
      <c r="D47" s="2" t="s">
        <v>336</v>
      </c>
      <c r="E47" s="2" t="s">
        <v>1711</v>
      </c>
      <c r="F47" s="2" t="s">
        <v>107</v>
      </c>
      <c r="G47" s="2" t="s">
        <v>1712</v>
      </c>
      <c r="H47" s="2" t="s">
        <v>340</v>
      </c>
      <c r="I47" s="2" t="s">
        <v>341</v>
      </c>
      <c r="J47" s="2" t="s">
        <v>1593</v>
      </c>
      <c r="K47" s="2"/>
      <c r="L47" s="2" t="s">
        <v>1713</v>
      </c>
    </row>
    <row r="48">
      <c r="A48" s="2" t="s">
        <v>24</v>
      </c>
      <c r="B48" s="2">
        <v>47</v>
      </c>
      <c r="C48" s="2" t="s">
        <v>56</v>
      </c>
      <c r="D48" s="2" t="s">
        <v>342</v>
      </c>
      <c r="E48" s="2" t="s">
        <v>1714</v>
      </c>
      <c r="F48" s="2" t="s">
        <v>344</v>
      </c>
      <c r="G48" s="2" t="s">
        <v>1715</v>
      </c>
      <c r="H48" s="2" t="s">
        <v>345</v>
      </c>
      <c r="I48" s="2" t="s">
        <v>346</v>
      </c>
      <c r="J48" s="2" t="s">
        <v>1593</v>
      </c>
      <c r="K48" s="2"/>
      <c r="L48" s="2" t="s">
        <v>1716</v>
      </c>
    </row>
    <row r="49">
      <c r="A49" s="2" t="s">
        <v>24</v>
      </c>
      <c r="B49" s="2">
        <v>48</v>
      </c>
      <c r="C49" s="2" t="s">
        <v>110</v>
      </c>
      <c r="D49" s="2" t="s">
        <v>347</v>
      </c>
      <c r="E49" s="2" t="s">
        <v>1717</v>
      </c>
      <c r="F49" s="2" t="s">
        <v>149</v>
      </c>
      <c r="G49" s="2" t="s">
        <v>1718</v>
      </c>
      <c r="H49" s="2" t="s">
        <v>350</v>
      </c>
      <c r="I49" s="2" t="s">
        <v>351</v>
      </c>
      <c r="J49" s="2" t="s">
        <v>1593</v>
      </c>
      <c r="K49" s="2" t="s">
        <v>197</v>
      </c>
      <c r="L49" s="2" t="s">
        <v>1719</v>
      </c>
    </row>
    <row r="50">
      <c r="A50" s="2" t="s">
        <v>24</v>
      </c>
      <c r="B50" s="2">
        <v>49</v>
      </c>
      <c r="C50" s="2" t="s">
        <v>41</v>
      </c>
      <c r="D50" s="2" t="s">
        <v>352</v>
      </c>
      <c r="E50" s="2" t="s">
        <v>1720</v>
      </c>
      <c r="F50" s="2" t="s">
        <v>78</v>
      </c>
      <c r="G50" s="2" t="s">
        <v>1596</v>
      </c>
      <c r="H50" s="2" t="s">
        <v>355</v>
      </c>
      <c r="I50" s="2" t="s">
        <v>356</v>
      </c>
      <c r="J50" s="2" t="s">
        <v>1593</v>
      </c>
      <c r="K50" s="2" t="s">
        <v>81</v>
      </c>
      <c r="L50" s="2" t="s">
        <v>1721</v>
      </c>
    </row>
    <row r="51">
      <c r="A51" s="2" t="s">
        <v>24</v>
      </c>
      <c r="B51" s="2">
        <v>50</v>
      </c>
      <c r="C51" s="2" t="s">
        <v>56</v>
      </c>
      <c r="D51" s="2" t="s">
        <v>357</v>
      </c>
      <c r="E51" s="2" t="s">
        <v>1722</v>
      </c>
      <c r="F51" s="2" t="s">
        <v>358</v>
      </c>
      <c r="G51" s="2" t="s">
        <v>1723</v>
      </c>
      <c r="H51" s="2" t="s">
        <v>359</v>
      </c>
      <c r="I51" s="2" t="s">
        <v>360</v>
      </c>
      <c r="J51" s="2" t="s">
        <v>1593</v>
      </c>
      <c r="K51" s="2" t="s">
        <v>81</v>
      </c>
      <c r="L51" s="2" t="s">
        <v>1724</v>
      </c>
    </row>
    <row r="52">
      <c r="A52" s="2" t="s">
        <v>24</v>
      </c>
      <c r="B52" s="2">
        <v>51</v>
      </c>
      <c r="C52" s="2" t="s">
        <v>192</v>
      </c>
      <c r="D52" s="2" t="s">
        <v>361</v>
      </c>
      <c r="E52" s="2" t="s">
        <v>1725</v>
      </c>
      <c r="F52" s="2" t="s">
        <v>128</v>
      </c>
      <c r="G52" s="2" t="s">
        <v>1726</v>
      </c>
      <c r="H52" s="2" t="s">
        <v>363</v>
      </c>
      <c r="I52" s="2" t="s">
        <v>364</v>
      </c>
      <c r="J52" s="2" t="s">
        <v>1593</v>
      </c>
      <c r="K52" s="2" t="s">
        <v>197</v>
      </c>
      <c r="L52" s="2" t="s">
        <v>1727</v>
      </c>
    </row>
    <row r="53">
      <c r="A53" s="2" t="s">
        <v>24</v>
      </c>
      <c r="B53" s="2">
        <v>52</v>
      </c>
      <c r="C53" s="2" t="s">
        <v>192</v>
      </c>
      <c r="D53" s="2" t="s">
        <v>365</v>
      </c>
      <c r="E53" s="2" t="s">
        <v>1728</v>
      </c>
      <c r="F53" s="2" t="s">
        <v>367</v>
      </c>
      <c r="G53" s="2" t="s">
        <v>1707</v>
      </c>
      <c r="H53" s="2" t="s">
        <v>368</v>
      </c>
      <c r="I53" s="2" t="s">
        <v>369</v>
      </c>
      <c r="J53" s="2" t="s">
        <v>1593</v>
      </c>
      <c r="K53" s="2"/>
      <c r="L53" s="2" t="s">
        <v>1729</v>
      </c>
    </row>
    <row r="54">
      <c r="A54" s="2" t="s">
        <v>24</v>
      </c>
      <c r="B54" s="2">
        <v>53</v>
      </c>
      <c r="C54" s="2" t="s">
        <v>41</v>
      </c>
      <c r="D54" s="2" t="s">
        <v>370</v>
      </c>
      <c r="E54" s="2" t="s">
        <v>1730</v>
      </c>
      <c r="F54" s="2" t="s">
        <v>375</v>
      </c>
      <c r="G54" s="2" t="s">
        <v>1596</v>
      </c>
      <c r="H54" s="2" t="s">
        <v>376</v>
      </c>
      <c r="I54" s="2" t="s">
        <v>377</v>
      </c>
      <c r="J54" s="2" t="s">
        <v>1593</v>
      </c>
      <c r="K54" s="2"/>
      <c r="L54" s="2" t="s">
        <v>1731</v>
      </c>
    </row>
    <row r="55">
      <c r="A55" s="2" t="s">
        <v>24</v>
      </c>
      <c r="B55" s="2">
        <v>54</v>
      </c>
      <c r="C55" s="2" t="s">
        <v>117</v>
      </c>
      <c r="D55" s="2" t="s">
        <v>378</v>
      </c>
      <c r="E55" s="2" t="s">
        <v>1732</v>
      </c>
      <c r="F55" s="2" t="s">
        <v>382</v>
      </c>
      <c r="G55" s="2" t="s">
        <v>1733</v>
      </c>
      <c r="H55" s="2" t="s">
        <v>383</v>
      </c>
      <c r="I55" s="2" t="s">
        <v>384</v>
      </c>
      <c r="J55" s="2" t="s">
        <v>1593</v>
      </c>
      <c r="K55" s="2" t="s">
        <v>81</v>
      </c>
      <c r="L55" s="2" t="s">
        <v>1734</v>
      </c>
    </row>
    <row r="56">
      <c r="A56" s="2" t="s">
        <v>24</v>
      </c>
      <c r="B56" s="2">
        <v>55</v>
      </c>
      <c r="C56" s="2" t="s">
        <v>41</v>
      </c>
      <c r="D56" s="2" t="s">
        <v>385</v>
      </c>
      <c r="E56" s="2" t="s">
        <v>1735</v>
      </c>
      <c r="F56" s="2" t="s">
        <v>67</v>
      </c>
      <c r="G56" s="2" t="s">
        <v>1652</v>
      </c>
      <c r="H56" s="2" t="s">
        <v>389</v>
      </c>
      <c r="I56" s="2" t="s">
        <v>390</v>
      </c>
      <c r="J56" s="2" t="s">
        <v>1593</v>
      </c>
      <c r="K56" s="2"/>
      <c r="L56" s="2" t="s">
        <v>1736</v>
      </c>
    </row>
    <row r="57">
      <c r="A57" s="2" t="s">
        <v>24</v>
      </c>
      <c r="B57" s="2">
        <v>56</v>
      </c>
      <c r="C57" s="2" t="s">
        <v>82</v>
      </c>
      <c r="D57" s="2" t="s">
        <v>391</v>
      </c>
      <c r="E57" s="2" t="s">
        <v>1737</v>
      </c>
      <c r="F57" s="2" t="s">
        <v>199</v>
      </c>
      <c r="G57" s="2" t="s">
        <v>1715</v>
      </c>
      <c r="H57" s="2" t="s">
        <v>392</v>
      </c>
      <c r="I57" s="2" t="s">
        <v>393</v>
      </c>
      <c r="J57" s="2" t="s">
        <v>1593</v>
      </c>
      <c r="K57" s="2"/>
      <c r="L57" s="2" t="s">
        <v>1738</v>
      </c>
    </row>
    <row r="58">
      <c r="A58" s="2" t="s">
        <v>24</v>
      </c>
      <c r="B58" s="2">
        <v>57</v>
      </c>
      <c r="C58" s="2" t="s">
        <v>41</v>
      </c>
      <c r="D58" s="2" t="s">
        <v>394</v>
      </c>
      <c r="E58" s="2" t="s">
        <v>1739</v>
      </c>
      <c r="F58" s="2" t="s">
        <v>397</v>
      </c>
      <c r="G58" s="2" t="s">
        <v>1596</v>
      </c>
      <c r="H58" s="2" t="s">
        <v>398</v>
      </c>
      <c r="I58" s="2" t="s">
        <v>399</v>
      </c>
      <c r="J58" s="2" t="s">
        <v>1593</v>
      </c>
      <c r="K58" s="2"/>
      <c r="L58" s="2" t="s">
        <v>1740</v>
      </c>
    </row>
    <row r="59">
      <c r="A59" s="2" t="s">
        <v>24</v>
      </c>
      <c r="B59" s="2">
        <v>58</v>
      </c>
      <c r="C59" s="2" t="s">
        <v>56</v>
      </c>
      <c r="D59" s="2" t="s">
        <v>400</v>
      </c>
      <c r="E59" s="2" t="s">
        <v>1741</v>
      </c>
      <c r="F59" s="2" t="s">
        <v>404</v>
      </c>
      <c r="G59" s="2" t="s">
        <v>1742</v>
      </c>
      <c r="H59" s="2" t="s">
        <v>405</v>
      </c>
      <c r="I59" s="2" t="s">
        <v>406</v>
      </c>
      <c r="J59" s="2" t="s">
        <v>1593</v>
      </c>
      <c r="K59" s="2" t="s">
        <v>145</v>
      </c>
      <c r="L59" s="2" t="s">
        <v>1743</v>
      </c>
    </row>
    <row r="60">
      <c r="A60" s="2" t="s">
        <v>24</v>
      </c>
      <c r="B60" s="2">
        <v>59</v>
      </c>
      <c r="C60" s="2" t="s">
        <v>117</v>
      </c>
      <c r="D60" s="2" t="s">
        <v>407</v>
      </c>
      <c r="E60" s="2" t="s">
        <v>1744</v>
      </c>
      <c r="F60" s="2" t="s">
        <v>344</v>
      </c>
      <c r="G60" s="2" t="s">
        <v>1745</v>
      </c>
      <c r="H60" s="2" t="s">
        <v>410</v>
      </c>
      <c r="I60" s="2" t="s">
        <v>411</v>
      </c>
      <c r="J60" s="2" t="s">
        <v>1593</v>
      </c>
      <c r="K60" s="2"/>
      <c r="L60" s="2" t="s">
        <v>1746</v>
      </c>
    </row>
    <row r="61">
      <c r="A61" s="2" t="s">
        <v>24</v>
      </c>
      <c r="B61" s="2">
        <v>60</v>
      </c>
      <c r="C61" s="2" t="s">
        <v>41</v>
      </c>
      <c r="D61" s="2" t="s">
        <v>412</v>
      </c>
      <c r="E61" s="2" t="s">
        <v>1747</v>
      </c>
      <c r="F61" s="2" t="s">
        <v>414</v>
      </c>
      <c r="G61" s="2" t="s">
        <v>1596</v>
      </c>
      <c r="H61" s="2" t="s">
        <v>415</v>
      </c>
      <c r="I61" s="2" t="s">
        <v>416</v>
      </c>
      <c r="J61" s="2" t="s">
        <v>1593</v>
      </c>
      <c r="K61" s="2"/>
      <c r="L61" s="2" t="s">
        <v>1748</v>
      </c>
    </row>
    <row r="62">
      <c r="A62" s="2" t="s">
        <v>24</v>
      </c>
      <c r="B62" s="2">
        <v>61</v>
      </c>
      <c r="C62" s="2" t="s">
        <v>41</v>
      </c>
      <c r="D62" s="2" t="s">
        <v>417</v>
      </c>
      <c r="E62" s="2" t="s">
        <v>1749</v>
      </c>
      <c r="F62" s="2" t="s">
        <v>418</v>
      </c>
      <c r="G62" s="2" t="s">
        <v>1596</v>
      </c>
      <c r="H62" s="2" t="s">
        <v>419</v>
      </c>
      <c r="I62" s="2" t="s">
        <v>420</v>
      </c>
      <c r="J62" s="2" t="s">
        <v>1593</v>
      </c>
      <c r="K62" s="2"/>
      <c r="L62" s="2" t="s">
        <v>1750</v>
      </c>
    </row>
    <row r="63">
      <c r="A63" s="2" t="s">
        <v>24</v>
      </c>
      <c r="B63" s="2">
        <v>62</v>
      </c>
      <c r="C63" s="2" t="s">
        <v>117</v>
      </c>
      <c r="D63" s="2" t="s">
        <v>421</v>
      </c>
      <c r="E63" s="2" t="s">
        <v>1751</v>
      </c>
      <c r="F63" s="2" t="s">
        <v>422</v>
      </c>
      <c r="G63" s="2" t="s">
        <v>1662</v>
      </c>
      <c r="H63" s="2" t="s">
        <v>423</v>
      </c>
      <c r="I63" s="2" t="s">
        <v>424</v>
      </c>
      <c r="J63" s="2" t="s">
        <v>1593</v>
      </c>
      <c r="K63" s="2" t="s">
        <v>81</v>
      </c>
      <c r="L63" s="2" t="s">
        <v>1752</v>
      </c>
    </row>
    <row r="64">
      <c r="A64" s="2" t="s">
        <v>24</v>
      </c>
      <c r="B64" s="2">
        <v>63</v>
      </c>
      <c r="C64" s="2" t="s">
        <v>22</v>
      </c>
      <c r="D64" s="2" t="s">
        <v>425</v>
      </c>
      <c r="E64" s="2" t="s">
        <v>1753</v>
      </c>
      <c r="F64" s="2" t="s">
        <v>135</v>
      </c>
      <c r="G64" s="2" t="s">
        <v>1745</v>
      </c>
      <c r="H64" s="2" t="s">
        <v>427</v>
      </c>
      <c r="I64" s="2" t="s">
        <v>428</v>
      </c>
      <c r="J64" s="2" t="s">
        <v>1593</v>
      </c>
      <c r="K64" s="2"/>
      <c r="L64" s="2" t="s">
        <v>1754</v>
      </c>
    </row>
    <row r="65">
      <c r="A65" s="2" t="s">
        <v>24</v>
      </c>
      <c r="B65" s="2">
        <v>64</v>
      </c>
      <c r="C65" s="2" t="s">
        <v>82</v>
      </c>
      <c r="D65" s="2" t="s">
        <v>429</v>
      </c>
      <c r="E65" s="2" t="s">
        <v>1755</v>
      </c>
      <c r="F65" s="2" t="s">
        <v>207</v>
      </c>
      <c r="G65" s="2" t="s">
        <v>1652</v>
      </c>
      <c r="H65" s="2" t="s">
        <v>432</v>
      </c>
      <c r="I65" s="2" t="s">
        <v>433</v>
      </c>
      <c r="J65" s="2" t="s">
        <v>1593</v>
      </c>
      <c r="K65" s="2"/>
      <c r="L65" s="2" t="s">
        <v>1756</v>
      </c>
    </row>
    <row r="66">
      <c r="A66" s="2" t="s">
        <v>24</v>
      </c>
      <c r="B66" s="2">
        <v>65</v>
      </c>
      <c r="C66" s="2" t="s">
        <v>192</v>
      </c>
      <c r="D66" s="2" t="s">
        <v>434</v>
      </c>
      <c r="E66" s="2" t="s">
        <v>1757</v>
      </c>
      <c r="F66" s="2" t="s">
        <v>436</v>
      </c>
      <c r="G66" s="2" t="s">
        <v>1644</v>
      </c>
      <c r="H66" s="2" t="s">
        <v>437</v>
      </c>
      <c r="I66" s="2" t="s">
        <v>438</v>
      </c>
      <c r="J66" s="2" t="s">
        <v>1597</v>
      </c>
      <c r="K66" s="2"/>
      <c r="L66" s="2" t="s">
        <v>1758</v>
      </c>
    </row>
    <row r="67">
      <c r="A67" s="2" t="s">
        <v>24</v>
      </c>
      <c r="B67" s="2">
        <v>66</v>
      </c>
      <c r="C67" s="2" t="s">
        <v>192</v>
      </c>
      <c r="D67" s="2" t="s">
        <v>439</v>
      </c>
      <c r="E67" s="2" t="s">
        <v>1759</v>
      </c>
      <c r="F67" s="2" t="s">
        <v>441</v>
      </c>
      <c r="G67" s="2" t="s">
        <v>1760</v>
      </c>
      <c r="H67" s="2" t="s">
        <v>442</v>
      </c>
      <c r="I67" s="2" t="s">
        <v>443</v>
      </c>
      <c r="J67" s="2" t="s">
        <v>1593</v>
      </c>
      <c r="K67" s="2" t="s">
        <v>81</v>
      </c>
      <c r="L67" s="2" t="s">
        <v>1761</v>
      </c>
    </row>
    <row r="68">
      <c r="A68" s="2" t="s">
        <v>24</v>
      </c>
      <c r="B68" s="2">
        <v>67</v>
      </c>
      <c r="C68" s="2" t="s">
        <v>444</v>
      </c>
      <c r="D68" s="2" t="s">
        <v>445</v>
      </c>
      <c r="E68" s="2" t="s">
        <v>1762</v>
      </c>
      <c r="F68" s="2" t="s">
        <v>448</v>
      </c>
      <c r="G68" s="2" t="s">
        <v>1763</v>
      </c>
      <c r="H68" s="2" t="s">
        <v>449</v>
      </c>
      <c r="I68" s="2" t="s">
        <v>450</v>
      </c>
      <c r="J68" s="2" t="s">
        <v>1593</v>
      </c>
      <c r="K68" s="2"/>
      <c r="L68" s="2" t="s">
        <v>1764</v>
      </c>
    </row>
    <row r="69">
      <c r="A69" s="2" t="s">
        <v>24</v>
      </c>
      <c r="B69" s="2">
        <v>68</v>
      </c>
      <c r="C69" s="2" t="s">
        <v>41</v>
      </c>
      <c r="D69" s="2" t="s">
        <v>451</v>
      </c>
      <c r="E69" s="2" t="s">
        <v>1765</v>
      </c>
      <c r="F69" s="2" t="s">
        <v>454</v>
      </c>
      <c r="G69" s="2" t="s">
        <v>1596</v>
      </c>
      <c r="H69" s="2" t="s">
        <v>455</v>
      </c>
      <c r="I69" s="2" t="s">
        <v>456</v>
      </c>
      <c r="J69" s="2" t="s">
        <v>1593</v>
      </c>
      <c r="K69" s="2" t="s">
        <v>191</v>
      </c>
      <c r="L69" s="2" t="s">
        <v>1766</v>
      </c>
    </row>
    <row r="70">
      <c r="A70" s="2" t="s">
        <v>24</v>
      </c>
      <c r="B70" s="2">
        <v>69</v>
      </c>
      <c r="C70" s="2" t="s">
        <v>110</v>
      </c>
      <c r="D70" s="2" t="s">
        <v>457</v>
      </c>
      <c r="E70" s="2" t="s">
        <v>1767</v>
      </c>
      <c r="F70" s="2" t="s">
        <v>249</v>
      </c>
      <c r="G70" s="2" t="s">
        <v>1768</v>
      </c>
      <c r="H70" s="2" t="s">
        <v>461</v>
      </c>
      <c r="I70" s="2" t="s">
        <v>462</v>
      </c>
      <c r="J70" s="2" t="s">
        <v>1597</v>
      </c>
      <c r="K70" s="2"/>
      <c r="L70" s="2" t="s">
        <v>1769</v>
      </c>
    </row>
    <row r="71">
      <c r="A71" s="2" t="s">
        <v>24</v>
      </c>
      <c r="B71" s="2">
        <v>70</v>
      </c>
      <c r="C71" s="2" t="s">
        <v>239</v>
      </c>
      <c r="D71" s="2" t="s">
        <v>463</v>
      </c>
      <c r="E71" s="2" t="s">
        <v>1770</v>
      </c>
      <c r="F71" s="2" t="s">
        <v>464</v>
      </c>
      <c r="G71" s="2" t="s">
        <v>1667</v>
      </c>
      <c r="H71" s="2" t="s">
        <v>465</v>
      </c>
      <c r="I71" s="2" t="s">
        <v>466</v>
      </c>
      <c r="J71" s="2" t="s">
        <v>1593</v>
      </c>
      <c r="K71" s="2" t="s">
        <v>81</v>
      </c>
      <c r="L71" s="2" t="s">
        <v>1771</v>
      </c>
    </row>
    <row r="72">
      <c r="A72" s="2" t="s">
        <v>24</v>
      </c>
      <c r="B72" s="2">
        <v>71</v>
      </c>
      <c r="C72" s="2" t="s">
        <v>41</v>
      </c>
      <c r="D72" s="2" t="s">
        <v>467</v>
      </c>
      <c r="E72" s="2" t="s">
        <v>1772</v>
      </c>
      <c r="F72" s="2" t="s">
        <v>107</v>
      </c>
      <c r="G72" s="2" t="s">
        <v>1596</v>
      </c>
      <c r="H72" s="2" t="s">
        <v>470</v>
      </c>
      <c r="I72" s="2" t="s">
        <v>471</v>
      </c>
      <c r="J72" s="2" t="s">
        <v>1593</v>
      </c>
      <c r="K72" s="2"/>
      <c r="L72" s="2" t="s">
        <v>1773</v>
      </c>
    </row>
    <row r="73">
      <c r="A73" s="2" t="s">
        <v>24</v>
      </c>
      <c r="B73" s="2">
        <v>72</v>
      </c>
      <c r="C73" s="2" t="s">
        <v>239</v>
      </c>
      <c r="D73" s="2" t="s">
        <v>472</v>
      </c>
      <c r="E73" s="2" t="s">
        <v>1774</v>
      </c>
      <c r="F73" s="2" t="s">
        <v>473</v>
      </c>
      <c r="G73" s="2" t="s">
        <v>1775</v>
      </c>
      <c r="H73" s="2" t="s">
        <v>474</v>
      </c>
      <c r="I73" s="2" t="s">
        <v>475</v>
      </c>
      <c r="J73" s="2" t="s">
        <v>1593</v>
      </c>
      <c r="K73" s="2" t="s">
        <v>81</v>
      </c>
      <c r="L73" s="2" t="s">
        <v>1776</v>
      </c>
    </row>
    <row r="74">
      <c r="A74" s="2" t="s">
        <v>24</v>
      </c>
      <c r="B74" s="2">
        <v>73</v>
      </c>
      <c r="C74" s="2" t="s">
        <v>476</v>
      </c>
      <c r="D74" s="2" t="s">
        <v>477</v>
      </c>
      <c r="E74" s="2" t="s">
        <v>1777</v>
      </c>
      <c r="F74" s="2" t="s">
        <v>479</v>
      </c>
      <c r="G74" s="2" t="s">
        <v>1622</v>
      </c>
      <c r="H74" s="2" t="s">
        <v>480</v>
      </c>
      <c r="I74" s="2" t="s">
        <v>481</v>
      </c>
      <c r="J74" s="2" t="s">
        <v>1593</v>
      </c>
      <c r="K74" s="2"/>
      <c r="L74" s="2" t="s">
        <v>1778</v>
      </c>
    </row>
    <row r="75">
      <c r="A75" s="2" t="s">
        <v>24</v>
      </c>
      <c r="B75" s="2">
        <v>74</v>
      </c>
      <c r="C75" s="2" t="s">
        <v>82</v>
      </c>
      <c r="D75" s="2" t="s">
        <v>482</v>
      </c>
      <c r="E75" s="2" t="s">
        <v>1779</v>
      </c>
      <c r="F75" s="2" t="s">
        <v>172</v>
      </c>
      <c r="G75" s="2" t="s">
        <v>1780</v>
      </c>
      <c r="H75" s="2" t="s">
        <v>485</v>
      </c>
      <c r="I75" s="2" t="s">
        <v>486</v>
      </c>
      <c r="J75" s="2" t="s">
        <v>1593</v>
      </c>
      <c r="K75" s="2" t="s">
        <v>81</v>
      </c>
      <c r="L75" s="2" t="s">
        <v>1781</v>
      </c>
    </row>
    <row r="76">
      <c r="A76" s="2" t="s">
        <v>24</v>
      </c>
      <c r="B76" s="2">
        <v>75</v>
      </c>
      <c r="C76" s="2" t="s">
        <v>82</v>
      </c>
      <c r="D76" s="2" t="s">
        <v>487</v>
      </c>
      <c r="E76" s="2" t="s">
        <v>1782</v>
      </c>
      <c r="F76" s="2" t="s">
        <v>107</v>
      </c>
      <c r="G76" s="2" t="s">
        <v>1662</v>
      </c>
      <c r="H76" s="2" t="s">
        <v>491</v>
      </c>
      <c r="I76" s="2" t="s">
        <v>492</v>
      </c>
      <c r="J76" s="2" t="s">
        <v>1593</v>
      </c>
      <c r="K76" s="2"/>
      <c r="L76" s="2" t="s">
        <v>1783</v>
      </c>
    </row>
    <row r="77">
      <c r="A77" s="2" t="s">
        <v>24</v>
      </c>
      <c r="B77" s="2">
        <v>76</v>
      </c>
      <c r="C77" s="2" t="s">
        <v>82</v>
      </c>
      <c r="D77" s="2" t="s">
        <v>493</v>
      </c>
      <c r="E77" s="2" t="s">
        <v>1784</v>
      </c>
      <c r="F77" s="2" t="s">
        <v>418</v>
      </c>
      <c r="G77" s="2" t="s">
        <v>1715</v>
      </c>
      <c r="H77" s="2" t="s">
        <v>495</v>
      </c>
      <c r="I77" s="2" t="s">
        <v>496</v>
      </c>
      <c r="J77" s="2" t="s">
        <v>1593</v>
      </c>
      <c r="K77" s="2"/>
      <c r="L77" s="2" t="s">
        <v>1785</v>
      </c>
    </row>
    <row r="78">
      <c r="A78" s="2" t="s">
        <v>24</v>
      </c>
      <c r="B78" s="2">
        <v>77</v>
      </c>
      <c r="C78" s="2" t="s">
        <v>110</v>
      </c>
      <c r="D78" s="2" t="s">
        <v>497</v>
      </c>
      <c r="E78" s="2" t="s">
        <v>1786</v>
      </c>
      <c r="F78" s="2" t="s">
        <v>249</v>
      </c>
      <c r="G78" s="2" t="s">
        <v>1606</v>
      </c>
      <c r="H78" s="2" t="s">
        <v>499</v>
      </c>
      <c r="I78" s="2" t="s">
        <v>500</v>
      </c>
      <c r="J78" s="2" t="s">
        <v>1597</v>
      </c>
      <c r="K78" s="2"/>
      <c r="L78" s="2" t="s">
        <v>1787</v>
      </c>
    </row>
    <row r="79">
      <c r="A79" s="2" t="s">
        <v>24</v>
      </c>
      <c r="B79" s="2">
        <v>78</v>
      </c>
      <c r="C79" s="2" t="s">
        <v>110</v>
      </c>
      <c r="D79" s="2" t="s">
        <v>501</v>
      </c>
      <c r="E79" s="2" t="s">
        <v>1788</v>
      </c>
      <c r="F79" s="2" t="s">
        <v>502</v>
      </c>
      <c r="G79" s="2" t="s">
        <v>1606</v>
      </c>
      <c r="H79" s="2" t="s">
        <v>503</v>
      </c>
      <c r="I79" s="2" t="s">
        <v>504</v>
      </c>
      <c r="J79" s="2" t="s">
        <v>1619</v>
      </c>
      <c r="K79" s="2"/>
      <c r="L79" s="2" t="s">
        <v>1789</v>
      </c>
    </row>
    <row r="80">
      <c r="A80" s="2" t="s">
        <v>24</v>
      </c>
      <c r="B80" s="2">
        <v>79</v>
      </c>
      <c r="C80" s="2" t="s">
        <v>82</v>
      </c>
      <c r="D80" s="2" t="s">
        <v>505</v>
      </c>
      <c r="E80" s="2" t="s">
        <v>1790</v>
      </c>
      <c r="F80" s="2" t="s">
        <v>107</v>
      </c>
      <c r="G80" s="2" t="s">
        <v>1791</v>
      </c>
      <c r="H80" s="2" t="s">
        <v>507</v>
      </c>
      <c r="I80" s="2" t="s">
        <v>508</v>
      </c>
      <c r="J80" s="2" t="s">
        <v>1593</v>
      </c>
      <c r="K80" s="2"/>
      <c r="L80" s="2" t="s">
        <v>1792</v>
      </c>
    </row>
    <row r="81">
      <c r="A81" s="2" t="s">
        <v>24</v>
      </c>
      <c r="B81" s="2">
        <v>80</v>
      </c>
      <c r="C81" s="2" t="s">
        <v>41</v>
      </c>
      <c r="D81" s="2" t="s">
        <v>509</v>
      </c>
      <c r="E81" s="2" t="s">
        <v>1793</v>
      </c>
      <c r="F81" s="2" t="s">
        <v>344</v>
      </c>
      <c r="G81" s="2" t="s">
        <v>1596</v>
      </c>
      <c r="H81" s="2" t="s">
        <v>512</v>
      </c>
      <c r="I81" s="2" t="s">
        <v>513</v>
      </c>
      <c r="J81" s="2" t="s">
        <v>1593</v>
      </c>
      <c r="K81" s="2" t="s">
        <v>191</v>
      </c>
      <c r="L81" s="2" t="s">
        <v>1794</v>
      </c>
    </row>
    <row r="82">
      <c r="A82" s="2" t="s">
        <v>24</v>
      </c>
      <c r="B82" s="2">
        <v>81</v>
      </c>
      <c r="C82" s="2" t="s">
        <v>41</v>
      </c>
      <c r="D82" s="2" t="s">
        <v>514</v>
      </c>
      <c r="E82" s="2" t="s">
        <v>1795</v>
      </c>
      <c r="F82" s="2" t="s">
        <v>253</v>
      </c>
      <c r="G82" s="2" t="s">
        <v>1662</v>
      </c>
      <c r="H82" s="2" t="s">
        <v>517</v>
      </c>
      <c r="I82" s="2" t="s">
        <v>518</v>
      </c>
      <c r="J82" s="2" t="s">
        <v>1593</v>
      </c>
      <c r="K82" s="2"/>
      <c r="L82" s="2" t="s">
        <v>1796</v>
      </c>
    </row>
    <row r="83">
      <c r="A83" s="2" t="s">
        <v>24</v>
      </c>
      <c r="B83" s="2">
        <v>82</v>
      </c>
      <c r="C83" s="2" t="s">
        <v>110</v>
      </c>
      <c r="D83" s="2" t="s">
        <v>519</v>
      </c>
      <c r="E83" s="2" t="s">
        <v>1797</v>
      </c>
      <c r="F83" s="2" t="s">
        <v>249</v>
      </c>
      <c r="G83" s="2" t="s">
        <v>1723</v>
      </c>
      <c r="H83" s="2" t="s">
        <v>520</v>
      </c>
      <c r="I83" s="2" t="s">
        <v>521</v>
      </c>
      <c r="J83" s="2" t="s">
        <v>1597</v>
      </c>
      <c r="K83" s="2"/>
      <c r="L83" s="2" t="s">
        <v>1798</v>
      </c>
    </row>
    <row r="84">
      <c r="A84" s="2" t="s">
        <v>24</v>
      </c>
      <c r="B84" s="2">
        <v>83</v>
      </c>
      <c r="C84" s="2" t="s">
        <v>117</v>
      </c>
      <c r="D84" s="2" t="s">
        <v>522</v>
      </c>
      <c r="E84" s="2" t="s">
        <v>1799</v>
      </c>
      <c r="F84" s="2" t="s">
        <v>231</v>
      </c>
      <c r="G84" s="2" t="s">
        <v>1733</v>
      </c>
      <c r="H84" s="2" t="s">
        <v>524</v>
      </c>
      <c r="I84" s="2" t="s">
        <v>525</v>
      </c>
      <c r="J84" s="2" t="s">
        <v>1593</v>
      </c>
      <c r="K84" s="2"/>
      <c r="L84" s="2" t="s">
        <v>1800</v>
      </c>
    </row>
    <row r="85">
      <c r="A85" s="2" t="s">
        <v>24</v>
      </c>
      <c r="B85" s="2">
        <v>84</v>
      </c>
      <c r="C85" s="2" t="s">
        <v>239</v>
      </c>
      <c r="D85" s="2" t="s">
        <v>526</v>
      </c>
      <c r="E85" s="2" t="s">
        <v>1801</v>
      </c>
      <c r="F85" s="2" t="s">
        <v>128</v>
      </c>
      <c r="G85" s="2" t="s">
        <v>1704</v>
      </c>
      <c r="H85" s="2" t="s">
        <v>530</v>
      </c>
      <c r="I85" s="2" t="s">
        <v>531</v>
      </c>
      <c r="J85" s="2" t="s">
        <v>1593</v>
      </c>
      <c r="K85" s="2" t="s">
        <v>197</v>
      </c>
      <c r="L85" s="2" t="s">
        <v>1802</v>
      </c>
    </row>
    <row r="86">
      <c r="A86" s="2" t="s">
        <v>24</v>
      </c>
      <c r="B86" s="2">
        <v>85</v>
      </c>
      <c r="C86" s="2" t="s">
        <v>110</v>
      </c>
      <c r="D86" s="2" t="s">
        <v>532</v>
      </c>
      <c r="E86" s="2" t="s">
        <v>1803</v>
      </c>
      <c r="F86" s="2" t="s">
        <v>536</v>
      </c>
      <c r="G86" s="2" t="s">
        <v>1804</v>
      </c>
      <c r="H86" s="2" t="s">
        <v>537</v>
      </c>
      <c r="I86" s="2" t="s">
        <v>538</v>
      </c>
      <c r="J86" s="2" t="s">
        <v>1593</v>
      </c>
      <c r="K86" s="2"/>
      <c r="L86" s="2" t="s">
        <v>1805</v>
      </c>
    </row>
    <row r="87">
      <c r="A87" s="2" t="s">
        <v>24</v>
      </c>
      <c r="B87" s="2">
        <v>86</v>
      </c>
      <c r="C87" s="2" t="s">
        <v>22</v>
      </c>
      <c r="D87" s="2" t="s">
        <v>539</v>
      </c>
      <c r="E87" s="2" t="s">
        <v>1806</v>
      </c>
      <c r="F87" s="2" t="s">
        <v>540</v>
      </c>
      <c r="G87" s="2" t="s">
        <v>1807</v>
      </c>
      <c r="H87" s="2" t="s">
        <v>541</v>
      </c>
      <c r="I87" s="2" t="s">
        <v>542</v>
      </c>
      <c r="J87" s="2" t="s">
        <v>1593</v>
      </c>
      <c r="K87" s="2" t="s">
        <v>81</v>
      </c>
      <c r="L87" s="2" t="s">
        <v>1808</v>
      </c>
    </row>
    <row r="88">
      <c r="A88" s="2" t="s">
        <v>24</v>
      </c>
      <c r="B88" s="2">
        <v>87</v>
      </c>
      <c r="C88" s="2" t="s">
        <v>41</v>
      </c>
      <c r="D88" s="2" t="s">
        <v>543</v>
      </c>
      <c r="E88" s="2" t="s">
        <v>1809</v>
      </c>
      <c r="F88" s="2" t="s">
        <v>547</v>
      </c>
      <c r="G88" s="2" t="s">
        <v>1675</v>
      </c>
      <c r="H88" s="2" t="s">
        <v>548</v>
      </c>
      <c r="I88" s="2" t="s">
        <v>549</v>
      </c>
      <c r="J88" s="2" t="s">
        <v>1593</v>
      </c>
      <c r="K88" s="2"/>
      <c r="L88" s="2" t="s">
        <v>1810</v>
      </c>
    </row>
    <row r="89">
      <c r="A89" s="2" t="s">
        <v>24</v>
      </c>
      <c r="B89" s="2">
        <v>88</v>
      </c>
      <c r="C89" s="2" t="s">
        <v>82</v>
      </c>
      <c r="D89" s="2" t="s">
        <v>550</v>
      </c>
      <c r="E89" s="2" t="s">
        <v>1811</v>
      </c>
      <c r="F89" s="2" t="s">
        <v>78</v>
      </c>
      <c r="G89" s="2" t="s">
        <v>1600</v>
      </c>
      <c r="H89" s="2" t="s">
        <v>553</v>
      </c>
      <c r="I89" s="2" t="s">
        <v>554</v>
      </c>
      <c r="J89" s="2" t="s">
        <v>1593</v>
      </c>
      <c r="K89" s="2" t="s">
        <v>81</v>
      </c>
      <c r="L89" s="2" t="s">
        <v>1812</v>
      </c>
    </row>
    <row r="90">
      <c r="A90" s="2" t="s">
        <v>24</v>
      </c>
      <c r="B90" s="2">
        <v>89</v>
      </c>
      <c r="C90" s="2" t="s">
        <v>56</v>
      </c>
      <c r="D90" s="2" t="s">
        <v>555</v>
      </c>
      <c r="E90" s="2" t="s">
        <v>1813</v>
      </c>
      <c r="F90" s="2" t="s">
        <v>556</v>
      </c>
      <c r="G90" s="2" t="s">
        <v>1814</v>
      </c>
      <c r="H90" s="2" t="s">
        <v>557</v>
      </c>
      <c r="I90" s="2" t="s">
        <v>558</v>
      </c>
      <c r="J90" s="2" t="s">
        <v>1593</v>
      </c>
      <c r="K90" s="2" t="s">
        <v>81</v>
      </c>
      <c r="L90" s="2" t="s">
        <v>1815</v>
      </c>
    </row>
    <row r="91">
      <c r="A91" s="2" t="s">
        <v>24</v>
      </c>
      <c r="B91" s="2">
        <v>90</v>
      </c>
      <c r="C91" s="2" t="s">
        <v>192</v>
      </c>
      <c r="D91" s="2" t="s">
        <v>559</v>
      </c>
      <c r="E91" s="2" t="s">
        <v>1816</v>
      </c>
      <c r="F91" s="2" t="s">
        <v>418</v>
      </c>
      <c r="G91" s="2" t="s">
        <v>1622</v>
      </c>
      <c r="H91" s="2" t="s">
        <v>561</v>
      </c>
      <c r="I91" s="2" t="s">
        <v>562</v>
      </c>
      <c r="J91" s="2" t="s">
        <v>1593</v>
      </c>
      <c r="K91" s="2" t="s">
        <v>563</v>
      </c>
      <c r="L91" s="2" t="s">
        <v>1817</v>
      </c>
    </row>
    <row r="92">
      <c r="A92" s="2" t="s">
        <v>24</v>
      </c>
      <c r="B92" s="2">
        <v>91</v>
      </c>
      <c r="C92" s="2" t="s">
        <v>117</v>
      </c>
      <c r="D92" s="2" t="s">
        <v>564</v>
      </c>
      <c r="E92" s="2" t="s">
        <v>1818</v>
      </c>
      <c r="F92" s="2" t="s">
        <v>567</v>
      </c>
      <c r="G92" s="2" t="s">
        <v>1606</v>
      </c>
      <c r="H92" s="2" t="s">
        <v>568</v>
      </c>
      <c r="I92" s="2" t="s">
        <v>569</v>
      </c>
      <c r="J92" s="2" t="s">
        <v>1619</v>
      </c>
      <c r="K92" s="2" t="s">
        <v>145</v>
      </c>
      <c r="L92" s="2" t="s">
        <v>1819</v>
      </c>
    </row>
    <row r="93">
      <c r="A93" s="2" t="s">
        <v>572</v>
      </c>
      <c r="B93" s="2">
        <v>1</v>
      </c>
      <c r="C93" s="2" t="s">
        <v>570</v>
      </c>
      <c r="D93" s="2" t="s">
        <v>571</v>
      </c>
      <c r="E93" s="2" t="s">
        <v>1820</v>
      </c>
      <c r="F93" s="2" t="s">
        <v>576</v>
      </c>
      <c r="G93" s="2" t="s">
        <v>1821</v>
      </c>
      <c r="H93" s="2" t="s">
        <v>577</v>
      </c>
      <c r="I93" s="2" t="s">
        <v>578</v>
      </c>
      <c r="J93" s="2" t="s">
        <v>1593</v>
      </c>
      <c r="K93" s="2"/>
      <c r="L93" s="2" t="s">
        <v>1822</v>
      </c>
    </row>
    <row r="94">
      <c r="A94" s="2" t="s">
        <v>572</v>
      </c>
      <c r="B94" s="2">
        <v>2</v>
      </c>
      <c r="C94" s="2" t="s">
        <v>41</v>
      </c>
      <c r="D94" s="2" t="s">
        <v>42</v>
      </c>
      <c r="E94" s="2" t="s">
        <v>1595</v>
      </c>
      <c r="F94" s="2" t="s">
        <v>53</v>
      </c>
      <c r="G94" s="2" t="s">
        <v>1596</v>
      </c>
      <c r="H94" s="2" t="s">
        <v>54</v>
      </c>
      <c r="I94" s="2" t="s">
        <v>55</v>
      </c>
      <c r="J94" s="2" t="s">
        <v>1597</v>
      </c>
      <c r="K94" s="2"/>
      <c r="L94" s="2" t="s">
        <v>1598</v>
      </c>
    </row>
    <row r="95">
      <c r="A95" s="2" t="s">
        <v>572</v>
      </c>
      <c r="B95" s="2">
        <v>3</v>
      </c>
      <c r="C95" s="2" t="s">
        <v>239</v>
      </c>
      <c r="D95" s="2" t="s">
        <v>579</v>
      </c>
      <c r="E95" s="2" t="s">
        <v>1823</v>
      </c>
      <c r="F95" s="2" t="s">
        <v>582</v>
      </c>
      <c r="G95" s="2" t="s">
        <v>1824</v>
      </c>
      <c r="H95" s="2" t="s">
        <v>583</v>
      </c>
      <c r="I95" s="2" t="s">
        <v>584</v>
      </c>
      <c r="J95" s="2" t="s">
        <v>1593</v>
      </c>
      <c r="K95" s="2" t="s">
        <v>197</v>
      </c>
      <c r="L95" s="2" t="s">
        <v>1825</v>
      </c>
    </row>
    <row r="96">
      <c r="A96" s="2" t="s">
        <v>572</v>
      </c>
      <c r="B96" s="2">
        <v>4</v>
      </c>
      <c r="C96" s="2" t="s">
        <v>239</v>
      </c>
      <c r="D96" s="2" t="s">
        <v>585</v>
      </c>
      <c r="E96" s="2" t="s">
        <v>1826</v>
      </c>
      <c r="F96" s="2" t="s">
        <v>586</v>
      </c>
      <c r="G96" s="2" t="s">
        <v>1667</v>
      </c>
      <c r="H96" s="2" t="s">
        <v>587</v>
      </c>
      <c r="I96" s="2" t="s">
        <v>588</v>
      </c>
      <c r="J96" s="2" t="s">
        <v>1593</v>
      </c>
      <c r="K96" s="2" t="s">
        <v>81</v>
      </c>
      <c r="L96" s="2" t="s">
        <v>1827</v>
      </c>
    </row>
    <row r="97">
      <c r="A97" s="2" t="s">
        <v>572</v>
      </c>
      <c r="B97" s="2">
        <v>5</v>
      </c>
      <c r="C97" s="2" t="s">
        <v>41</v>
      </c>
      <c r="D97" s="2" t="s">
        <v>589</v>
      </c>
      <c r="E97" s="2" t="s">
        <v>1828</v>
      </c>
      <c r="F97" s="2" t="s">
        <v>593</v>
      </c>
      <c r="G97" s="2" t="s">
        <v>1596</v>
      </c>
      <c r="H97" s="2" t="s">
        <v>594</v>
      </c>
      <c r="I97" s="2" t="s">
        <v>595</v>
      </c>
      <c r="J97" s="2" t="s">
        <v>1593</v>
      </c>
      <c r="K97" s="2" t="s">
        <v>81</v>
      </c>
      <c r="L97" s="2" t="s">
        <v>1829</v>
      </c>
    </row>
    <row r="98">
      <c r="A98" s="2" t="s">
        <v>572</v>
      </c>
      <c r="B98" s="2">
        <v>6</v>
      </c>
      <c r="C98" s="2" t="s">
        <v>22</v>
      </c>
      <c r="D98" s="2" t="s">
        <v>596</v>
      </c>
      <c r="E98" s="2" t="s">
        <v>1830</v>
      </c>
      <c r="F98" s="2" t="s">
        <v>598</v>
      </c>
      <c r="G98" s="2" t="s">
        <v>1606</v>
      </c>
      <c r="H98" s="2" t="s">
        <v>599</v>
      </c>
      <c r="I98" s="2" t="s">
        <v>600</v>
      </c>
      <c r="J98" s="2" t="s">
        <v>1593</v>
      </c>
      <c r="K98" s="2"/>
      <c r="L98" s="2" t="s">
        <v>1831</v>
      </c>
    </row>
    <row r="99">
      <c r="A99" s="2" t="s">
        <v>572</v>
      </c>
      <c r="B99" s="2">
        <v>7</v>
      </c>
      <c r="C99" s="2" t="s">
        <v>239</v>
      </c>
      <c r="D99" s="2" t="s">
        <v>601</v>
      </c>
      <c r="E99" s="2" t="s">
        <v>1832</v>
      </c>
      <c r="F99" s="2" t="s">
        <v>397</v>
      </c>
      <c r="G99" s="2" t="s">
        <v>1833</v>
      </c>
      <c r="H99" s="2" t="s">
        <v>602</v>
      </c>
      <c r="I99" s="2" t="s">
        <v>603</v>
      </c>
      <c r="J99" s="2" t="s">
        <v>1593</v>
      </c>
      <c r="K99" s="2"/>
      <c r="L99" s="2" t="s">
        <v>1834</v>
      </c>
    </row>
    <row r="100">
      <c r="A100" s="2" t="s">
        <v>572</v>
      </c>
      <c r="B100" s="2">
        <v>8</v>
      </c>
      <c r="C100" s="2" t="s">
        <v>604</v>
      </c>
      <c r="D100" s="2" t="s">
        <v>605</v>
      </c>
      <c r="E100" s="2" t="s">
        <v>1835</v>
      </c>
      <c r="F100" s="2" t="s">
        <v>281</v>
      </c>
      <c r="G100" s="2" t="s">
        <v>1821</v>
      </c>
      <c r="H100" s="2" t="s">
        <v>608</v>
      </c>
      <c r="I100" s="2" t="s">
        <v>609</v>
      </c>
      <c r="J100" s="2" t="s">
        <v>1593</v>
      </c>
      <c r="K100" s="2"/>
      <c r="L100" s="2" t="s">
        <v>1836</v>
      </c>
    </row>
    <row r="101">
      <c r="A101" s="2" t="s">
        <v>572</v>
      </c>
      <c r="B101" s="2">
        <v>9</v>
      </c>
      <c r="C101" s="2" t="s">
        <v>131</v>
      </c>
      <c r="D101" s="2" t="s">
        <v>610</v>
      </c>
      <c r="E101" s="2" t="s">
        <v>1837</v>
      </c>
      <c r="F101" s="2" t="s">
        <v>479</v>
      </c>
      <c r="G101" s="2" t="s">
        <v>1625</v>
      </c>
      <c r="H101" s="2" t="s">
        <v>614</v>
      </c>
      <c r="I101" s="2" t="s">
        <v>615</v>
      </c>
      <c r="J101" s="2" t="s">
        <v>1593</v>
      </c>
      <c r="K101" s="2"/>
      <c r="L101" s="2" t="s">
        <v>1838</v>
      </c>
    </row>
    <row r="102">
      <c r="A102" s="2" t="s">
        <v>572</v>
      </c>
      <c r="B102" s="2">
        <v>10</v>
      </c>
      <c r="C102" s="2" t="s">
        <v>41</v>
      </c>
      <c r="D102" s="2" t="s">
        <v>616</v>
      </c>
      <c r="E102" s="2" t="s">
        <v>1839</v>
      </c>
      <c r="F102" s="2" t="s">
        <v>479</v>
      </c>
      <c r="G102" s="2" t="s">
        <v>1596</v>
      </c>
      <c r="H102" s="2" t="s">
        <v>620</v>
      </c>
      <c r="I102" s="2" t="s">
        <v>621</v>
      </c>
      <c r="J102" s="2" t="s">
        <v>1593</v>
      </c>
      <c r="K102" s="2" t="s">
        <v>563</v>
      </c>
      <c r="L102" s="2" t="s">
        <v>1840</v>
      </c>
    </row>
    <row r="103">
      <c r="A103" s="2" t="s">
        <v>572</v>
      </c>
      <c r="B103" s="2">
        <v>11</v>
      </c>
      <c r="C103" s="2" t="s">
        <v>117</v>
      </c>
      <c r="D103" s="2" t="s">
        <v>118</v>
      </c>
      <c r="E103" s="2" t="s">
        <v>1618</v>
      </c>
      <c r="F103" s="2" t="s">
        <v>121</v>
      </c>
      <c r="G103" s="2" t="s">
        <v>1596</v>
      </c>
      <c r="H103" s="2" t="s">
        <v>122</v>
      </c>
      <c r="I103" s="2" t="s">
        <v>123</v>
      </c>
      <c r="J103" s="2" t="s">
        <v>1619</v>
      </c>
      <c r="K103" s="2"/>
      <c r="L103" s="2" t="s">
        <v>1620</v>
      </c>
    </row>
    <row r="104">
      <c r="A104" s="2" t="s">
        <v>572</v>
      </c>
      <c r="B104" s="2">
        <v>12</v>
      </c>
      <c r="C104" s="2" t="s">
        <v>110</v>
      </c>
      <c r="D104" s="2" t="s">
        <v>124</v>
      </c>
      <c r="E104" s="2" t="s">
        <v>1621</v>
      </c>
      <c r="F104" s="2" t="s">
        <v>128</v>
      </c>
      <c r="G104" s="2" t="s">
        <v>1622</v>
      </c>
      <c r="H104" s="2" t="s">
        <v>129</v>
      </c>
      <c r="I104" s="2" t="s">
        <v>130</v>
      </c>
      <c r="J104" s="2" t="s">
        <v>1593</v>
      </c>
      <c r="K104" s="2"/>
      <c r="L104" s="2" t="s">
        <v>1623</v>
      </c>
    </row>
    <row r="105">
      <c r="A105" s="2" t="s">
        <v>572</v>
      </c>
      <c r="B105" s="2">
        <v>13</v>
      </c>
      <c r="C105" s="2" t="s">
        <v>41</v>
      </c>
      <c r="D105" s="2" t="s">
        <v>622</v>
      </c>
      <c r="E105" s="2" t="s">
        <v>1841</v>
      </c>
      <c r="F105" s="2" t="s">
        <v>625</v>
      </c>
      <c r="G105" s="2" t="s">
        <v>1596</v>
      </c>
      <c r="H105" s="2" t="s">
        <v>626</v>
      </c>
      <c r="I105" s="2" t="s">
        <v>627</v>
      </c>
      <c r="J105" s="2" t="s">
        <v>1593</v>
      </c>
      <c r="K105" s="2" t="s">
        <v>145</v>
      </c>
      <c r="L105" s="2" t="s">
        <v>1842</v>
      </c>
    </row>
    <row r="106">
      <c r="A106" s="2" t="s">
        <v>572</v>
      </c>
      <c r="B106" s="2">
        <v>14</v>
      </c>
      <c r="C106" s="2" t="s">
        <v>131</v>
      </c>
      <c r="D106" s="2" t="s">
        <v>132</v>
      </c>
      <c r="E106" s="2" t="s">
        <v>1624</v>
      </c>
      <c r="F106" s="2" t="s">
        <v>135</v>
      </c>
      <c r="G106" s="2" t="s">
        <v>1625</v>
      </c>
      <c r="H106" s="2" t="s">
        <v>136</v>
      </c>
      <c r="I106" s="2" t="s">
        <v>137</v>
      </c>
      <c r="J106" s="2" t="s">
        <v>1593</v>
      </c>
      <c r="K106" s="2"/>
      <c r="L106" s="2" t="s">
        <v>1626</v>
      </c>
    </row>
    <row r="107">
      <c r="A107" s="2" t="s">
        <v>572</v>
      </c>
      <c r="B107" s="2">
        <v>15</v>
      </c>
      <c r="C107" s="2" t="s">
        <v>117</v>
      </c>
      <c r="D107" s="2" t="s">
        <v>628</v>
      </c>
      <c r="E107" s="2" t="s">
        <v>1843</v>
      </c>
      <c r="F107" s="2" t="s">
        <v>634</v>
      </c>
      <c r="G107" s="2" t="s">
        <v>1652</v>
      </c>
      <c r="H107" s="2" t="s">
        <v>635</v>
      </c>
      <c r="I107" s="2" t="s">
        <v>636</v>
      </c>
      <c r="J107" s="2" t="s">
        <v>1593</v>
      </c>
      <c r="K107" s="2"/>
      <c r="L107" s="2" t="s">
        <v>1844</v>
      </c>
    </row>
    <row r="108">
      <c r="A108" s="2" t="s">
        <v>572</v>
      </c>
      <c r="B108" s="2">
        <v>16</v>
      </c>
      <c r="C108" s="2" t="s">
        <v>131</v>
      </c>
      <c r="D108" s="2" t="s">
        <v>637</v>
      </c>
      <c r="E108" s="2" t="s">
        <v>1845</v>
      </c>
      <c r="F108" s="2" t="s">
        <v>194</v>
      </c>
      <c r="G108" s="2" t="s">
        <v>1846</v>
      </c>
      <c r="H108" s="2" t="s">
        <v>640</v>
      </c>
      <c r="I108" s="2" t="s">
        <v>641</v>
      </c>
      <c r="J108" s="2" t="s">
        <v>1593</v>
      </c>
      <c r="K108" s="2"/>
      <c r="L108" s="2" t="s">
        <v>1847</v>
      </c>
    </row>
    <row r="109">
      <c r="A109" s="2" t="s">
        <v>572</v>
      </c>
      <c r="B109" s="2">
        <v>17</v>
      </c>
      <c r="C109" s="2" t="s">
        <v>82</v>
      </c>
      <c r="D109" s="2" t="s">
        <v>159</v>
      </c>
      <c r="E109" s="2" t="s">
        <v>1636</v>
      </c>
      <c r="F109" s="2" t="s">
        <v>165</v>
      </c>
      <c r="G109" s="2" t="s">
        <v>1637</v>
      </c>
      <c r="H109" s="2" t="s">
        <v>166</v>
      </c>
      <c r="I109" s="2" t="s">
        <v>167</v>
      </c>
      <c r="J109" s="2" t="s">
        <v>1593</v>
      </c>
      <c r="K109" s="2" t="s">
        <v>81</v>
      </c>
      <c r="L109" s="2" t="s">
        <v>1638</v>
      </c>
    </row>
    <row r="110">
      <c r="A110" s="2" t="s">
        <v>572</v>
      </c>
      <c r="B110" s="2">
        <v>18</v>
      </c>
      <c r="C110" s="2" t="s">
        <v>41</v>
      </c>
      <c r="D110" s="2" t="s">
        <v>642</v>
      </c>
      <c r="E110" s="2" t="s">
        <v>1848</v>
      </c>
      <c r="F110" s="2" t="s">
        <v>78</v>
      </c>
      <c r="G110" s="2" t="s">
        <v>1596</v>
      </c>
      <c r="H110" s="2" t="s">
        <v>644</v>
      </c>
      <c r="I110" s="2" t="s">
        <v>645</v>
      </c>
      <c r="J110" s="2" t="s">
        <v>1593</v>
      </c>
      <c r="K110" s="2" t="s">
        <v>81</v>
      </c>
      <c r="L110" s="2" t="s">
        <v>1849</v>
      </c>
    </row>
    <row r="111">
      <c r="A111" s="2" t="s">
        <v>572</v>
      </c>
      <c r="B111" s="2">
        <v>19</v>
      </c>
      <c r="C111" s="2" t="s">
        <v>117</v>
      </c>
      <c r="D111" s="2" t="s">
        <v>168</v>
      </c>
      <c r="E111" s="2" t="s">
        <v>1639</v>
      </c>
      <c r="F111" s="2" t="s">
        <v>172</v>
      </c>
      <c r="G111" s="2" t="s">
        <v>1606</v>
      </c>
      <c r="H111" s="2" t="s">
        <v>173</v>
      </c>
      <c r="I111" s="2" t="s">
        <v>174</v>
      </c>
      <c r="J111" s="2" t="s">
        <v>1593</v>
      </c>
      <c r="K111" s="2" t="s">
        <v>81</v>
      </c>
      <c r="L111" s="2" t="s">
        <v>1640</v>
      </c>
    </row>
    <row r="112">
      <c r="A112" s="2" t="s">
        <v>572</v>
      </c>
      <c r="B112" s="2">
        <v>20</v>
      </c>
      <c r="C112" s="2" t="s">
        <v>646</v>
      </c>
      <c r="D112" s="2" t="s">
        <v>647</v>
      </c>
      <c r="E112" s="2" t="s">
        <v>1850</v>
      </c>
      <c r="F112" s="2" t="s">
        <v>479</v>
      </c>
      <c r="G112" s="2" t="s">
        <v>1851</v>
      </c>
      <c r="H112" s="2" t="s">
        <v>651</v>
      </c>
      <c r="I112" s="2" t="s">
        <v>652</v>
      </c>
      <c r="J112" s="2" t="s">
        <v>1593</v>
      </c>
      <c r="K112" s="2" t="s">
        <v>563</v>
      </c>
      <c r="L112" s="2" t="s">
        <v>1852</v>
      </c>
    </row>
    <row r="113">
      <c r="A113" s="2" t="s">
        <v>572</v>
      </c>
      <c r="B113" s="2">
        <v>21</v>
      </c>
      <c r="C113" s="2" t="s">
        <v>41</v>
      </c>
      <c r="D113" s="2" t="s">
        <v>175</v>
      </c>
      <c r="E113" s="2" t="s">
        <v>1641</v>
      </c>
      <c r="F113" s="2" t="s">
        <v>182</v>
      </c>
      <c r="G113" s="2" t="s">
        <v>1606</v>
      </c>
      <c r="H113" s="2" t="s">
        <v>183</v>
      </c>
      <c r="I113" s="2" t="s">
        <v>184</v>
      </c>
      <c r="J113" s="2" t="s">
        <v>1593</v>
      </c>
      <c r="K113" s="2"/>
      <c r="L113" s="2" t="s">
        <v>1642</v>
      </c>
    </row>
    <row r="114">
      <c r="A114" s="2" t="s">
        <v>572</v>
      </c>
      <c r="B114" s="2">
        <v>22</v>
      </c>
      <c r="C114" s="2" t="s">
        <v>56</v>
      </c>
      <c r="D114" s="2" t="s">
        <v>653</v>
      </c>
      <c r="E114" s="2" t="s">
        <v>1853</v>
      </c>
      <c r="F114" s="2" t="s">
        <v>655</v>
      </c>
      <c r="G114" s="2" t="s">
        <v>1854</v>
      </c>
      <c r="H114" s="2" t="s">
        <v>656</v>
      </c>
      <c r="I114" s="2" t="s">
        <v>657</v>
      </c>
      <c r="J114" s="2" t="s">
        <v>1593</v>
      </c>
      <c r="K114" s="2"/>
      <c r="L114" s="2" t="s">
        <v>1855</v>
      </c>
    </row>
    <row r="115">
      <c r="A115" s="2" t="s">
        <v>572</v>
      </c>
      <c r="B115" s="2">
        <v>23</v>
      </c>
      <c r="C115" s="2" t="s">
        <v>41</v>
      </c>
      <c r="D115" s="2" t="s">
        <v>658</v>
      </c>
      <c r="E115" s="2" t="s">
        <v>1856</v>
      </c>
      <c r="F115" s="2" t="s">
        <v>634</v>
      </c>
      <c r="G115" s="2" t="s">
        <v>1652</v>
      </c>
      <c r="H115" s="2" t="s">
        <v>662</v>
      </c>
      <c r="I115" s="2" t="s">
        <v>663</v>
      </c>
      <c r="J115" s="2" t="s">
        <v>1593</v>
      </c>
      <c r="K115" s="2"/>
      <c r="L115" s="2" t="s">
        <v>1857</v>
      </c>
    </row>
    <row r="116">
      <c r="A116" s="2" t="s">
        <v>572</v>
      </c>
      <c r="B116" s="2">
        <v>24</v>
      </c>
      <c r="C116" s="2" t="s">
        <v>56</v>
      </c>
      <c r="D116" s="2" t="s">
        <v>664</v>
      </c>
      <c r="E116" s="2" t="s">
        <v>1858</v>
      </c>
      <c r="F116" s="2" t="s">
        <v>666</v>
      </c>
      <c r="G116" s="2" t="s">
        <v>1675</v>
      </c>
      <c r="H116" s="2" t="s">
        <v>667</v>
      </c>
      <c r="I116" s="2" t="s">
        <v>668</v>
      </c>
      <c r="J116" s="2" t="s">
        <v>1597</v>
      </c>
      <c r="K116" s="2"/>
      <c r="L116" s="2" t="s">
        <v>1859</v>
      </c>
    </row>
    <row r="117">
      <c r="A117" s="2" t="s">
        <v>572</v>
      </c>
      <c r="B117" s="2">
        <v>25</v>
      </c>
      <c r="C117" s="2" t="s">
        <v>41</v>
      </c>
      <c r="D117" s="2" t="s">
        <v>202</v>
      </c>
      <c r="E117" s="2" t="s">
        <v>1651</v>
      </c>
      <c r="F117" s="2" t="s">
        <v>207</v>
      </c>
      <c r="G117" s="2" t="s">
        <v>1652</v>
      </c>
      <c r="H117" s="2" t="s">
        <v>208</v>
      </c>
      <c r="I117" s="2" t="s">
        <v>209</v>
      </c>
      <c r="J117" s="2" t="s">
        <v>1593</v>
      </c>
      <c r="K117" s="2"/>
      <c r="L117" s="2" t="s">
        <v>1653</v>
      </c>
    </row>
    <row r="118">
      <c r="A118" s="2" t="s">
        <v>572</v>
      </c>
      <c r="B118" s="2">
        <v>26</v>
      </c>
      <c r="C118" s="2" t="s">
        <v>117</v>
      </c>
      <c r="D118" s="2" t="s">
        <v>669</v>
      </c>
      <c r="E118" s="2" t="s">
        <v>1860</v>
      </c>
      <c r="F118" s="2" t="s">
        <v>672</v>
      </c>
      <c r="G118" s="2" t="s">
        <v>1634</v>
      </c>
      <c r="H118" s="2" t="s">
        <v>673</v>
      </c>
      <c r="I118" s="2" t="s">
        <v>674</v>
      </c>
      <c r="J118" s="2" t="s">
        <v>1593</v>
      </c>
      <c r="K118" s="2" t="s">
        <v>81</v>
      </c>
      <c r="L118" s="2" t="s">
        <v>1861</v>
      </c>
    </row>
    <row r="119">
      <c r="A119" s="2" t="s">
        <v>572</v>
      </c>
      <c r="B119" s="2">
        <v>27</v>
      </c>
      <c r="C119" s="2" t="s">
        <v>82</v>
      </c>
      <c r="D119" s="2" t="s">
        <v>675</v>
      </c>
      <c r="E119" s="2" t="s">
        <v>1862</v>
      </c>
      <c r="F119" s="2" t="s">
        <v>107</v>
      </c>
      <c r="G119" s="2" t="s">
        <v>1814</v>
      </c>
      <c r="H119" s="2" t="s">
        <v>679</v>
      </c>
      <c r="I119" s="2" t="s">
        <v>680</v>
      </c>
      <c r="J119" s="2" t="s">
        <v>1593</v>
      </c>
      <c r="K119" s="2"/>
      <c r="L119" s="2" t="s">
        <v>1863</v>
      </c>
    </row>
    <row r="120">
      <c r="A120" s="2" t="s">
        <v>572</v>
      </c>
      <c r="B120" s="2">
        <v>28</v>
      </c>
      <c r="C120" s="2" t="s">
        <v>56</v>
      </c>
      <c r="D120" s="2" t="s">
        <v>681</v>
      </c>
      <c r="E120" s="2" t="s">
        <v>1864</v>
      </c>
      <c r="F120" s="2" t="s">
        <v>135</v>
      </c>
      <c r="G120" s="2" t="s">
        <v>1742</v>
      </c>
      <c r="H120" s="2" t="s">
        <v>682</v>
      </c>
      <c r="I120" s="2" t="s">
        <v>683</v>
      </c>
      <c r="J120" s="2" t="s">
        <v>1593</v>
      </c>
      <c r="K120" s="2"/>
      <c r="L120" s="2" t="s">
        <v>1865</v>
      </c>
    </row>
    <row r="121">
      <c r="A121" s="2" t="s">
        <v>572</v>
      </c>
      <c r="B121" s="2">
        <v>29</v>
      </c>
      <c r="C121" s="2" t="s">
        <v>41</v>
      </c>
      <c r="D121" s="2" t="s">
        <v>684</v>
      </c>
      <c r="E121" s="2" t="s">
        <v>1866</v>
      </c>
      <c r="F121" s="2" t="s">
        <v>687</v>
      </c>
      <c r="G121" s="2" t="s">
        <v>1867</v>
      </c>
      <c r="H121" s="2" t="s">
        <v>688</v>
      </c>
      <c r="I121" s="2" t="s">
        <v>689</v>
      </c>
      <c r="J121" s="2" t="s">
        <v>1593</v>
      </c>
      <c r="K121" s="2"/>
      <c r="L121" s="2" t="s">
        <v>1868</v>
      </c>
    </row>
    <row r="122">
      <c r="A122" s="2" t="s">
        <v>572</v>
      </c>
      <c r="B122" s="2">
        <v>30</v>
      </c>
      <c r="C122" s="2" t="s">
        <v>117</v>
      </c>
      <c r="D122" s="2" t="s">
        <v>256</v>
      </c>
      <c r="E122" s="2" t="s">
        <v>1674</v>
      </c>
      <c r="F122" s="2" t="s">
        <v>261</v>
      </c>
      <c r="G122" s="2" t="s">
        <v>1675</v>
      </c>
      <c r="H122" s="2" t="s">
        <v>262</v>
      </c>
      <c r="I122" s="2" t="s">
        <v>263</v>
      </c>
      <c r="J122" s="2" t="s">
        <v>1593</v>
      </c>
      <c r="K122" s="2"/>
      <c r="L122" s="2" t="s">
        <v>1676</v>
      </c>
    </row>
    <row r="123">
      <c r="A123" s="2" t="s">
        <v>572</v>
      </c>
      <c r="B123" s="2">
        <v>31</v>
      </c>
      <c r="C123" s="2" t="s">
        <v>41</v>
      </c>
      <c r="D123" s="2" t="s">
        <v>690</v>
      </c>
      <c r="E123" s="2" t="s">
        <v>1869</v>
      </c>
      <c r="F123" s="2" t="s">
        <v>281</v>
      </c>
      <c r="G123" s="2" t="s">
        <v>1596</v>
      </c>
      <c r="H123" s="2" t="s">
        <v>694</v>
      </c>
      <c r="I123" s="2" t="s">
        <v>695</v>
      </c>
      <c r="J123" s="2" t="s">
        <v>1593</v>
      </c>
      <c r="K123" s="2" t="s">
        <v>197</v>
      </c>
      <c r="L123" s="2" t="s">
        <v>1870</v>
      </c>
    </row>
    <row r="124">
      <c r="A124" s="2" t="s">
        <v>572</v>
      </c>
      <c r="B124" s="2">
        <v>32</v>
      </c>
      <c r="C124" s="2" t="s">
        <v>239</v>
      </c>
      <c r="D124" s="2" t="s">
        <v>696</v>
      </c>
      <c r="E124" s="2" t="s">
        <v>1871</v>
      </c>
      <c r="F124" s="2" t="s">
        <v>107</v>
      </c>
      <c r="G124" s="2" t="s">
        <v>1872</v>
      </c>
      <c r="H124" s="2" t="s">
        <v>700</v>
      </c>
      <c r="I124" s="2" t="s">
        <v>701</v>
      </c>
      <c r="J124" s="2" t="s">
        <v>1593</v>
      </c>
      <c r="K124" s="2"/>
      <c r="L124" s="2" t="s">
        <v>1873</v>
      </c>
    </row>
    <row r="125">
      <c r="A125" s="2" t="s">
        <v>572</v>
      </c>
      <c r="B125" s="2">
        <v>33</v>
      </c>
      <c r="C125" s="2" t="s">
        <v>41</v>
      </c>
      <c r="D125" s="2" t="s">
        <v>702</v>
      </c>
      <c r="E125" s="2" t="s">
        <v>1874</v>
      </c>
      <c r="F125" s="2" t="s">
        <v>705</v>
      </c>
      <c r="G125" s="2" t="s">
        <v>1652</v>
      </c>
      <c r="H125" s="2" t="s">
        <v>706</v>
      </c>
      <c r="I125" s="2" t="s">
        <v>707</v>
      </c>
      <c r="J125" s="2" t="s">
        <v>1593</v>
      </c>
      <c r="K125" s="2"/>
      <c r="L125" s="2" t="s">
        <v>1875</v>
      </c>
    </row>
    <row r="126">
      <c r="A126" s="2" t="s">
        <v>572</v>
      </c>
      <c r="B126" s="2">
        <v>34</v>
      </c>
      <c r="C126" s="2" t="s">
        <v>117</v>
      </c>
      <c r="D126" s="2" t="s">
        <v>284</v>
      </c>
      <c r="E126" s="2" t="s">
        <v>1684</v>
      </c>
      <c r="F126" s="2" t="s">
        <v>287</v>
      </c>
      <c r="G126" s="2" t="s">
        <v>1652</v>
      </c>
      <c r="H126" s="2" t="s">
        <v>288</v>
      </c>
      <c r="I126" s="2" t="s">
        <v>289</v>
      </c>
      <c r="J126" s="2" t="s">
        <v>1593</v>
      </c>
      <c r="K126" s="2"/>
      <c r="L126" s="2" t="s">
        <v>1685</v>
      </c>
    </row>
    <row r="127">
      <c r="A127" s="2" t="s">
        <v>572</v>
      </c>
      <c r="B127" s="2">
        <v>35</v>
      </c>
      <c r="C127" s="2" t="s">
        <v>82</v>
      </c>
      <c r="D127" s="2" t="s">
        <v>708</v>
      </c>
      <c r="E127" s="2" t="s">
        <v>1876</v>
      </c>
      <c r="F127" s="2" t="s">
        <v>172</v>
      </c>
      <c r="G127" s="2" t="s">
        <v>1872</v>
      </c>
      <c r="H127" s="2" t="s">
        <v>712</v>
      </c>
      <c r="I127" s="2" t="s">
        <v>713</v>
      </c>
      <c r="J127" s="2" t="s">
        <v>1593</v>
      </c>
      <c r="K127" s="2" t="s">
        <v>81</v>
      </c>
      <c r="L127" s="2" t="s">
        <v>1877</v>
      </c>
    </row>
    <row r="128">
      <c r="A128" s="2" t="s">
        <v>572</v>
      </c>
      <c r="B128" s="2">
        <v>36</v>
      </c>
      <c r="C128" s="2" t="s">
        <v>110</v>
      </c>
      <c r="D128" s="2" t="s">
        <v>714</v>
      </c>
      <c r="E128" s="2" t="s">
        <v>1878</v>
      </c>
      <c r="F128" s="2" t="s">
        <v>718</v>
      </c>
      <c r="G128" s="2" t="s">
        <v>1879</v>
      </c>
      <c r="H128" s="2" t="s">
        <v>719</v>
      </c>
      <c r="I128" s="2" t="s">
        <v>720</v>
      </c>
      <c r="J128" s="2" t="s">
        <v>1593</v>
      </c>
      <c r="K128" s="2" t="s">
        <v>81</v>
      </c>
      <c r="L128" s="2" t="s">
        <v>1880</v>
      </c>
    </row>
    <row r="129">
      <c r="A129" s="2" t="s">
        <v>572</v>
      </c>
      <c r="B129" s="2">
        <v>37</v>
      </c>
      <c r="C129" s="2" t="s">
        <v>110</v>
      </c>
      <c r="D129" s="2" t="s">
        <v>721</v>
      </c>
      <c r="E129" s="2" t="s">
        <v>1881</v>
      </c>
      <c r="F129" s="2" t="s">
        <v>207</v>
      </c>
      <c r="G129" s="2" t="s">
        <v>1791</v>
      </c>
      <c r="H129" s="2" t="s">
        <v>724</v>
      </c>
      <c r="I129" s="2" t="s">
        <v>725</v>
      </c>
      <c r="J129" s="2" t="s">
        <v>1593</v>
      </c>
      <c r="K129" s="2"/>
      <c r="L129" s="2" t="s">
        <v>1882</v>
      </c>
    </row>
    <row r="130">
      <c r="A130" s="2" t="s">
        <v>572</v>
      </c>
      <c r="B130" s="2">
        <v>38</v>
      </c>
      <c r="C130" s="2" t="s">
        <v>192</v>
      </c>
      <c r="D130" s="2" t="s">
        <v>726</v>
      </c>
      <c r="E130" s="2" t="s">
        <v>1883</v>
      </c>
      <c r="F130" s="2" t="s">
        <v>397</v>
      </c>
      <c r="G130" s="2" t="s">
        <v>1760</v>
      </c>
      <c r="H130" s="2" t="s">
        <v>731</v>
      </c>
      <c r="I130" s="2" t="s">
        <v>732</v>
      </c>
      <c r="J130" s="2" t="s">
        <v>1593</v>
      </c>
      <c r="K130" s="2"/>
      <c r="L130" s="2" t="s">
        <v>1884</v>
      </c>
    </row>
    <row r="131">
      <c r="A131" s="2" t="s">
        <v>572</v>
      </c>
      <c r="B131" s="2">
        <v>39</v>
      </c>
      <c r="C131" s="2" t="s">
        <v>476</v>
      </c>
      <c r="D131" s="2" t="s">
        <v>733</v>
      </c>
      <c r="E131" s="2" t="s">
        <v>1885</v>
      </c>
      <c r="F131" s="2" t="s">
        <v>281</v>
      </c>
      <c r="G131" s="2" t="s">
        <v>1807</v>
      </c>
      <c r="H131" s="2" t="s">
        <v>734</v>
      </c>
      <c r="I131" s="2" t="s">
        <v>735</v>
      </c>
      <c r="J131" s="2" t="s">
        <v>1593</v>
      </c>
      <c r="K131" s="2"/>
      <c r="L131" s="2" t="s">
        <v>1886</v>
      </c>
    </row>
    <row r="132">
      <c r="A132" s="2" t="s">
        <v>572</v>
      </c>
      <c r="B132" s="2">
        <v>40</v>
      </c>
      <c r="C132" s="2" t="s">
        <v>117</v>
      </c>
      <c r="D132" s="2" t="s">
        <v>736</v>
      </c>
      <c r="E132" s="2" t="s">
        <v>1887</v>
      </c>
      <c r="F132" s="2" t="s">
        <v>740</v>
      </c>
      <c r="G132" s="2" t="s">
        <v>1606</v>
      </c>
      <c r="H132" s="2" t="s">
        <v>741</v>
      </c>
      <c r="I132" s="2" t="s">
        <v>742</v>
      </c>
      <c r="J132" s="2" t="s">
        <v>1597</v>
      </c>
      <c r="K132" s="2"/>
      <c r="L132" s="2" t="s">
        <v>1888</v>
      </c>
    </row>
    <row r="133">
      <c r="A133" s="2" t="s">
        <v>572</v>
      </c>
      <c r="B133" s="2">
        <v>41</v>
      </c>
      <c r="C133" s="2" t="s">
        <v>82</v>
      </c>
      <c r="D133" s="2" t="s">
        <v>743</v>
      </c>
      <c r="E133" s="2" t="s">
        <v>1889</v>
      </c>
      <c r="F133" s="2" t="s">
        <v>746</v>
      </c>
      <c r="G133" s="2" t="s">
        <v>1662</v>
      </c>
      <c r="H133" s="2" t="s">
        <v>747</v>
      </c>
      <c r="I133" s="2" t="s">
        <v>748</v>
      </c>
      <c r="J133" s="2" t="s">
        <v>1619</v>
      </c>
      <c r="K133" s="2" t="s">
        <v>145</v>
      </c>
      <c r="L133" s="2" t="s">
        <v>1890</v>
      </c>
    </row>
    <row r="134">
      <c r="A134" s="2" t="s">
        <v>572</v>
      </c>
      <c r="B134" s="2">
        <v>42</v>
      </c>
      <c r="C134" s="2" t="s">
        <v>56</v>
      </c>
      <c r="D134" s="2" t="s">
        <v>308</v>
      </c>
      <c r="E134" s="2" t="s">
        <v>1695</v>
      </c>
      <c r="F134" s="2" t="s">
        <v>310</v>
      </c>
      <c r="G134" s="2" t="s">
        <v>1606</v>
      </c>
      <c r="H134" s="2" t="s">
        <v>311</v>
      </c>
      <c r="I134" s="2" t="s">
        <v>312</v>
      </c>
      <c r="J134" s="2" t="s">
        <v>1597</v>
      </c>
      <c r="K134" s="2"/>
      <c r="L134" s="2" t="s">
        <v>1696</v>
      </c>
    </row>
    <row r="135">
      <c r="A135" s="2" t="s">
        <v>572</v>
      </c>
      <c r="B135" s="2">
        <v>43</v>
      </c>
      <c r="C135" s="2" t="s">
        <v>192</v>
      </c>
      <c r="D135" s="2" t="s">
        <v>749</v>
      </c>
      <c r="E135" s="2" t="s">
        <v>1891</v>
      </c>
      <c r="F135" s="2" t="s">
        <v>753</v>
      </c>
      <c r="G135" s="2" t="s">
        <v>1892</v>
      </c>
      <c r="H135" s="2" t="s">
        <v>754</v>
      </c>
      <c r="I135" s="2" t="s">
        <v>755</v>
      </c>
      <c r="J135" s="2" t="s">
        <v>1593</v>
      </c>
      <c r="K135" s="2" t="s">
        <v>563</v>
      </c>
      <c r="L135" s="2" t="s">
        <v>1893</v>
      </c>
    </row>
    <row r="136">
      <c r="A136" s="2" t="s">
        <v>572</v>
      </c>
      <c r="B136" s="2">
        <v>44</v>
      </c>
      <c r="C136" s="2" t="s">
        <v>41</v>
      </c>
      <c r="D136" s="2" t="s">
        <v>756</v>
      </c>
      <c r="E136" s="2" t="s">
        <v>1894</v>
      </c>
      <c r="F136" s="2" t="s">
        <v>760</v>
      </c>
      <c r="G136" s="2" t="s">
        <v>1596</v>
      </c>
      <c r="H136" s="2" t="s">
        <v>761</v>
      </c>
      <c r="I136" s="2" t="s">
        <v>762</v>
      </c>
      <c r="J136" s="2" t="s">
        <v>1593</v>
      </c>
      <c r="K136" s="2" t="s">
        <v>145</v>
      </c>
      <c r="L136" s="2" t="s">
        <v>1895</v>
      </c>
    </row>
    <row r="137">
      <c r="A137" s="2" t="s">
        <v>572</v>
      </c>
      <c r="B137" s="2">
        <v>45</v>
      </c>
      <c r="C137" s="2" t="s">
        <v>131</v>
      </c>
      <c r="D137" s="2" t="s">
        <v>763</v>
      </c>
      <c r="E137" s="2" t="s">
        <v>1896</v>
      </c>
      <c r="F137" s="2" t="s">
        <v>764</v>
      </c>
      <c r="G137" s="2" t="s">
        <v>1662</v>
      </c>
      <c r="H137" s="2" t="s">
        <v>765</v>
      </c>
      <c r="I137" s="2" t="s">
        <v>766</v>
      </c>
      <c r="J137" s="2" t="s">
        <v>1619</v>
      </c>
      <c r="K137" s="2"/>
      <c r="L137" s="2" t="s">
        <v>1897</v>
      </c>
    </row>
    <row r="138">
      <c r="A138" s="2" t="s">
        <v>572</v>
      </c>
      <c r="B138" s="2">
        <v>46</v>
      </c>
      <c r="C138" s="2" t="s">
        <v>239</v>
      </c>
      <c r="D138" s="2" t="s">
        <v>767</v>
      </c>
      <c r="E138" s="2" t="s">
        <v>1898</v>
      </c>
      <c r="F138" s="2" t="s">
        <v>172</v>
      </c>
      <c r="G138" s="2" t="s">
        <v>1682</v>
      </c>
      <c r="H138" s="2" t="s">
        <v>771</v>
      </c>
      <c r="I138" s="2" t="s">
        <v>772</v>
      </c>
      <c r="J138" s="2" t="s">
        <v>1593</v>
      </c>
      <c r="K138" s="2" t="s">
        <v>81</v>
      </c>
      <c r="L138" s="2" t="s">
        <v>1899</v>
      </c>
    </row>
    <row r="139">
      <c r="A139" s="2" t="s">
        <v>572</v>
      </c>
      <c r="B139" s="2">
        <v>47</v>
      </c>
      <c r="C139" s="2" t="s">
        <v>117</v>
      </c>
      <c r="D139" s="2" t="s">
        <v>773</v>
      </c>
      <c r="E139" s="2" t="s">
        <v>1900</v>
      </c>
      <c r="F139" s="2" t="s">
        <v>358</v>
      </c>
      <c r="G139" s="2" t="s">
        <v>1742</v>
      </c>
      <c r="H139" s="2" t="s">
        <v>775</v>
      </c>
      <c r="I139" s="2" t="s">
        <v>776</v>
      </c>
      <c r="J139" s="2" t="s">
        <v>1593</v>
      </c>
      <c r="K139" s="2" t="s">
        <v>81</v>
      </c>
      <c r="L139" s="2" t="s">
        <v>1901</v>
      </c>
    </row>
    <row r="140">
      <c r="A140" s="2" t="s">
        <v>572</v>
      </c>
      <c r="B140" s="2">
        <v>48</v>
      </c>
      <c r="C140" s="2" t="s">
        <v>41</v>
      </c>
      <c r="D140" s="2" t="s">
        <v>331</v>
      </c>
      <c r="E140" s="2" t="s">
        <v>1709</v>
      </c>
      <c r="F140" s="2" t="s">
        <v>333</v>
      </c>
      <c r="G140" s="2" t="s">
        <v>1606</v>
      </c>
      <c r="H140" s="2" t="s">
        <v>334</v>
      </c>
      <c r="I140" s="2" t="s">
        <v>335</v>
      </c>
      <c r="J140" s="2" t="s">
        <v>1593</v>
      </c>
      <c r="K140" s="2" t="s">
        <v>145</v>
      </c>
      <c r="L140" s="2" t="s">
        <v>1710</v>
      </c>
    </row>
    <row r="141">
      <c r="A141" s="2" t="s">
        <v>572</v>
      </c>
      <c r="B141" s="2">
        <v>49</v>
      </c>
      <c r="C141" s="2" t="s">
        <v>117</v>
      </c>
      <c r="D141" s="2" t="s">
        <v>777</v>
      </c>
      <c r="E141" s="2" t="s">
        <v>1902</v>
      </c>
      <c r="F141" s="2" t="s">
        <v>779</v>
      </c>
      <c r="G141" s="2" t="s">
        <v>1733</v>
      </c>
      <c r="H141" s="2" t="s">
        <v>780</v>
      </c>
      <c r="I141" s="2" t="s">
        <v>781</v>
      </c>
      <c r="J141" s="2" t="s">
        <v>1593</v>
      </c>
      <c r="K141" s="2" t="s">
        <v>81</v>
      </c>
      <c r="L141" s="2" t="s">
        <v>1903</v>
      </c>
    </row>
    <row r="142">
      <c r="A142" s="2" t="s">
        <v>572</v>
      </c>
      <c r="B142" s="2">
        <v>50</v>
      </c>
      <c r="C142" s="2" t="s">
        <v>117</v>
      </c>
      <c r="D142" s="2" t="s">
        <v>782</v>
      </c>
      <c r="E142" s="2" t="s">
        <v>1904</v>
      </c>
      <c r="F142" s="2" t="s">
        <v>785</v>
      </c>
      <c r="G142" s="2" t="s">
        <v>1652</v>
      </c>
      <c r="H142" s="2" t="s">
        <v>786</v>
      </c>
      <c r="I142" s="2" t="s">
        <v>787</v>
      </c>
      <c r="J142" s="2" t="s">
        <v>1593</v>
      </c>
      <c r="K142" s="2" t="s">
        <v>81</v>
      </c>
      <c r="L142" s="2" t="s">
        <v>1905</v>
      </c>
    </row>
    <row r="143">
      <c r="A143" s="2" t="s">
        <v>572</v>
      </c>
      <c r="B143" s="2">
        <v>51</v>
      </c>
      <c r="C143" s="2" t="s">
        <v>41</v>
      </c>
      <c r="D143" s="2" t="s">
        <v>788</v>
      </c>
      <c r="E143" s="2" t="s">
        <v>1906</v>
      </c>
      <c r="F143" s="2" t="s">
        <v>422</v>
      </c>
      <c r="G143" s="2" t="s">
        <v>1596</v>
      </c>
      <c r="H143" s="2" t="s">
        <v>790</v>
      </c>
      <c r="I143" s="2" t="s">
        <v>791</v>
      </c>
      <c r="J143" s="2" t="s">
        <v>1593</v>
      </c>
      <c r="K143" s="2" t="s">
        <v>81</v>
      </c>
      <c r="L143" s="2" t="s">
        <v>1907</v>
      </c>
    </row>
    <row r="144">
      <c r="A144" s="2" t="s">
        <v>572</v>
      </c>
      <c r="B144" s="2">
        <v>52</v>
      </c>
      <c r="C144" s="2" t="s">
        <v>56</v>
      </c>
      <c r="D144" s="2" t="s">
        <v>792</v>
      </c>
      <c r="E144" s="2" t="s">
        <v>1908</v>
      </c>
      <c r="F144" s="2" t="s">
        <v>794</v>
      </c>
      <c r="G144" s="2" t="s">
        <v>1644</v>
      </c>
      <c r="H144" s="2" t="s">
        <v>795</v>
      </c>
      <c r="I144" s="2" t="s">
        <v>796</v>
      </c>
      <c r="J144" s="2" t="s">
        <v>1619</v>
      </c>
      <c r="K144" s="2"/>
      <c r="L144" s="2" t="s">
        <v>1909</v>
      </c>
    </row>
    <row r="145">
      <c r="A145" s="2" t="s">
        <v>572</v>
      </c>
      <c r="B145" s="2">
        <v>53</v>
      </c>
      <c r="C145" s="2" t="s">
        <v>131</v>
      </c>
      <c r="D145" s="2" t="s">
        <v>797</v>
      </c>
      <c r="E145" s="2" t="s">
        <v>1910</v>
      </c>
      <c r="F145" s="2" t="s">
        <v>67</v>
      </c>
      <c r="G145" s="2" t="s">
        <v>1701</v>
      </c>
      <c r="H145" s="2" t="s">
        <v>800</v>
      </c>
      <c r="I145" s="2" t="s">
        <v>801</v>
      </c>
      <c r="J145" s="2" t="s">
        <v>1593</v>
      </c>
      <c r="K145" s="2" t="s">
        <v>563</v>
      </c>
      <c r="L145" s="2" t="s">
        <v>1911</v>
      </c>
    </row>
    <row r="146">
      <c r="A146" s="2" t="s">
        <v>572</v>
      </c>
      <c r="B146" s="2">
        <v>54</v>
      </c>
      <c r="C146" s="2" t="s">
        <v>117</v>
      </c>
      <c r="D146" s="2" t="s">
        <v>802</v>
      </c>
      <c r="E146" s="2" t="s">
        <v>1912</v>
      </c>
      <c r="F146" s="2" t="s">
        <v>805</v>
      </c>
      <c r="G146" s="2" t="s">
        <v>1733</v>
      </c>
      <c r="H146" s="2" t="s">
        <v>806</v>
      </c>
      <c r="I146" s="2" t="s">
        <v>807</v>
      </c>
      <c r="J146" s="2" t="s">
        <v>1593</v>
      </c>
      <c r="K146" s="2"/>
      <c r="L146" s="2" t="s">
        <v>1913</v>
      </c>
    </row>
    <row r="147">
      <c r="A147" s="2" t="s">
        <v>572</v>
      </c>
      <c r="B147" s="2">
        <v>55</v>
      </c>
      <c r="C147" s="2" t="s">
        <v>70</v>
      </c>
      <c r="D147" s="2" t="s">
        <v>808</v>
      </c>
      <c r="E147" s="2" t="s">
        <v>1914</v>
      </c>
      <c r="F147" s="2" t="s">
        <v>142</v>
      </c>
      <c r="G147" s="2" t="s">
        <v>1867</v>
      </c>
      <c r="H147" s="2" t="s">
        <v>811</v>
      </c>
      <c r="I147" s="2" t="s">
        <v>812</v>
      </c>
      <c r="J147" s="2" t="s">
        <v>1593</v>
      </c>
      <c r="K147" s="2" t="s">
        <v>81</v>
      </c>
      <c r="L147" s="2" t="s">
        <v>1915</v>
      </c>
    </row>
    <row r="148">
      <c r="A148" s="2" t="s">
        <v>572</v>
      </c>
      <c r="B148" s="2">
        <v>56</v>
      </c>
      <c r="C148" s="2" t="s">
        <v>117</v>
      </c>
      <c r="D148" s="2" t="s">
        <v>813</v>
      </c>
      <c r="E148" s="2" t="s">
        <v>1916</v>
      </c>
      <c r="F148" s="2" t="s">
        <v>815</v>
      </c>
      <c r="G148" s="2" t="s">
        <v>1596</v>
      </c>
      <c r="H148" s="2" t="s">
        <v>816</v>
      </c>
      <c r="I148" s="2" t="s">
        <v>817</v>
      </c>
      <c r="J148" s="2" t="s">
        <v>1593</v>
      </c>
      <c r="K148" s="2" t="s">
        <v>152</v>
      </c>
      <c r="L148" s="2" t="s">
        <v>1917</v>
      </c>
    </row>
    <row r="149">
      <c r="A149" s="2" t="s">
        <v>572</v>
      </c>
      <c r="B149" s="2">
        <v>57</v>
      </c>
      <c r="C149" s="2" t="s">
        <v>41</v>
      </c>
      <c r="D149" s="2" t="s">
        <v>818</v>
      </c>
      <c r="E149" s="2" t="s">
        <v>1918</v>
      </c>
      <c r="F149" s="2" t="s">
        <v>194</v>
      </c>
      <c r="G149" s="2" t="s">
        <v>1596</v>
      </c>
      <c r="H149" s="2" t="s">
        <v>821</v>
      </c>
      <c r="I149" s="2" t="s">
        <v>822</v>
      </c>
      <c r="J149" s="2" t="s">
        <v>1593</v>
      </c>
      <c r="K149" s="2" t="s">
        <v>145</v>
      </c>
      <c r="L149" s="2" t="s">
        <v>1919</v>
      </c>
    </row>
    <row r="150">
      <c r="A150" s="2" t="s">
        <v>572</v>
      </c>
      <c r="B150" s="2">
        <v>58</v>
      </c>
      <c r="C150" s="2" t="s">
        <v>56</v>
      </c>
      <c r="D150" s="2" t="s">
        <v>823</v>
      </c>
      <c r="E150" s="2" t="s">
        <v>1920</v>
      </c>
      <c r="F150" s="2" t="s">
        <v>149</v>
      </c>
      <c r="G150" s="2" t="s">
        <v>1670</v>
      </c>
      <c r="H150" s="2" t="s">
        <v>824</v>
      </c>
      <c r="I150" s="2" t="s">
        <v>825</v>
      </c>
      <c r="J150" s="2" t="s">
        <v>1593</v>
      </c>
      <c r="K150" s="2" t="s">
        <v>191</v>
      </c>
      <c r="L150" s="2" t="s">
        <v>1921</v>
      </c>
    </row>
    <row r="151">
      <c r="A151" s="2" t="s">
        <v>572</v>
      </c>
      <c r="B151" s="2">
        <v>59</v>
      </c>
      <c r="C151" s="2" t="s">
        <v>41</v>
      </c>
      <c r="D151" s="2" t="s">
        <v>370</v>
      </c>
      <c r="E151" s="2" t="s">
        <v>1730</v>
      </c>
      <c r="F151" s="2" t="s">
        <v>375</v>
      </c>
      <c r="G151" s="2" t="s">
        <v>1596</v>
      </c>
      <c r="H151" s="2" t="s">
        <v>376</v>
      </c>
      <c r="I151" s="2" t="s">
        <v>377</v>
      </c>
      <c r="J151" s="2" t="s">
        <v>1593</v>
      </c>
      <c r="K151" s="2"/>
      <c r="L151" s="2" t="s">
        <v>1731</v>
      </c>
    </row>
    <row r="152">
      <c r="A152" s="2" t="s">
        <v>572</v>
      </c>
      <c r="B152" s="2">
        <v>60</v>
      </c>
      <c r="C152" s="2" t="s">
        <v>41</v>
      </c>
      <c r="D152" s="2" t="s">
        <v>826</v>
      </c>
      <c r="E152" s="2" t="s">
        <v>1922</v>
      </c>
      <c r="F152" s="2" t="s">
        <v>830</v>
      </c>
      <c r="G152" s="2" t="s">
        <v>1606</v>
      </c>
      <c r="H152" s="2" t="s">
        <v>831</v>
      </c>
      <c r="I152" s="2" t="s">
        <v>832</v>
      </c>
      <c r="J152" s="2" t="s">
        <v>1593</v>
      </c>
      <c r="K152" s="2"/>
      <c r="L152" s="2" t="s">
        <v>1923</v>
      </c>
    </row>
    <row r="153">
      <c r="A153" s="2" t="s">
        <v>572</v>
      </c>
      <c r="B153" s="2">
        <v>61</v>
      </c>
      <c r="C153" s="2" t="s">
        <v>41</v>
      </c>
      <c r="D153" s="2" t="s">
        <v>385</v>
      </c>
      <c r="E153" s="2" t="s">
        <v>1735</v>
      </c>
      <c r="F153" s="2" t="s">
        <v>67</v>
      </c>
      <c r="G153" s="2" t="s">
        <v>1652</v>
      </c>
      <c r="H153" s="2" t="s">
        <v>389</v>
      </c>
      <c r="I153" s="2" t="s">
        <v>390</v>
      </c>
      <c r="J153" s="2" t="s">
        <v>1593</v>
      </c>
      <c r="K153" s="2"/>
      <c r="L153" s="2" t="s">
        <v>1736</v>
      </c>
    </row>
    <row r="154">
      <c r="A154" s="2" t="s">
        <v>572</v>
      </c>
      <c r="B154" s="2">
        <v>62</v>
      </c>
      <c r="C154" s="2" t="s">
        <v>41</v>
      </c>
      <c r="D154" s="2" t="s">
        <v>833</v>
      </c>
      <c r="E154" s="2" t="s">
        <v>1924</v>
      </c>
      <c r="F154" s="2" t="s">
        <v>836</v>
      </c>
      <c r="G154" s="2" t="s">
        <v>1596</v>
      </c>
      <c r="H154" s="2" t="s">
        <v>837</v>
      </c>
      <c r="I154" s="2" t="s">
        <v>838</v>
      </c>
      <c r="J154" s="2" t="s">
        <v>1619</v>
      </c>
      <c r="K154" s="2"/>
      <c r="L154" s="2" t="s">
        <v>1925</v>
      </c>
    </row>
    <row r="155">
      <c r="A155" s="2" t="s">
        <v>572</v>
      </c>
      <c r="B155" s="2">
        <v>63</v>
      </c>
      <c r="C155" s="2" t="s">
        <v>110</v>
      </c>
      <c r="D155" s="2" t="s">
        <v>839</v>
      </c>
      <c r="E155" s="2" t="s">
        <v>1926</v>
      </c>
      <c r="F155" s="2" t="s">
        <v>841</v>
      </c>
      <c r="G155" s="2" t="s">
        <v>1927</v>
      </c>
      <c r="H155" s="2" t="s">
        <v>842</v>
      </c>
      <c r="I155" s="2" t="s">
        <v>843</v>
      </c>
      <c r="J155" s="2" t="s">
        <v>1593</v>
      </c>
      <c r="K155" s="2"/>
      <c r="L155" s="2" t="s">
        <v>1928</v>
      </c>
    </row>
    <row r="156">
      <c r="A156" s="2" t="s">
        <v>572</v>
      </c>
      <c r="B156" s="2">
        <v>64</v>
      </c>
      <c r="C156" s="2" t="s">
        <v>41</v>
      </c>
      <c r="D156" s="2" t="s">
        <v>844</v>
      </c>
      <c r="E156" s="2" t="s">
        <v>1929</v>
      </c>
      <c r="F156" s="2" t="s">
        <v>705</v>
      </c>
      <c r="G156" s="2" t="s">
        <v>1652</v>
      </c>
      <c r="H156" s="2" t="s">
        <v>847</v>
      </c>
      <c r="I156" s="2" t="s">
        <v>848</v>
      </c>
      <c r="J156" s="2" t="s">
        <v>1593</v>
      </c>
      <c r="K156" s="2"/>
      <c r="L156" s="2" t="s">
        <v>1930</v>
      </c>
    </row>
    <row r="157">
      <c r="A157" s="2" t="s">
        <v>572</v>
      </c>
      <c r="B157" s="2">
        <v>65</v>
      </c>
      <c r="C157" s="2" t="s">
        <v>117</v>
      </c>
      <c r="D157" s="2" t="s">
        <v>849</v>
      </c>
      <c r="E157" s="2" t="s">
        <v>1931</v>
      </c>
      <c r="F157" s="2" t="s">
        <v>851</v>
      </c>
      <c r="G157" s="2" t="s">
        <v>1742</v>
      </c>
      <c r="H157" s="2" t="s">
        <v>852</v>
      </c>
      <c r="I157" s="2" t="s">
        <v>853</v>
      </c>
      <c r="J157" s="2" t="s">
        <v>1593</v>
      </c>
      <c r="K157" s="2"/>
      <c r="L157" s="2" t="s">
        <v>1932</v>
      </c>
    </row>
    <row r="158">
      <c r="A158" s="2" t="s">
        <v>572</v>
      </c>
      <c r="B158" s="2">
        <v>66</v>
      </c>
      <c r="C158" s="2" t="s">
        <v>192</v>
      </c>
      <c r="D158" s="2" t="s">
        <v>854</v>
      </c>
      <c r="E158" s="2" t="s">
        <v>1933</v>
      </c>
      <c r="F158" s="2" t="s">
        <v>382</v>
      </c>
      <c r="G158" s="2" t="s">
        <v>1934</v>
      </c>
      <c r="H158" s="2" t="s">
        <v>857</v>
      </c>
      <c r="I158" s="2" t="s">
        <v>858</v>
      </c>
      <c r="J158" s="2" t="s">
        <v>1593</v>
      </c>
      <c r="K158" s="2" t="s">
        <v>81</v>
      </c>
      <c r="L158" s="2" t="s">
        <v>1935</v>
      </c>
    </row>
    <row r="159">
      <c r="A159" s="2" t="s">
        <v>572</v>
      </c>
      <c r="B159" s="2">
        <v>67</v>
      </c>
      <c r="C159" s="2" t="s">
        <v>117</v>
      </c>
      <c r="D159" s="2" t="s">
        <v>859</v>
      </c>
      <c r="E159" s="2" t="s">
        <v>1936</v>
      </c>
      <c r="F159" s="2" t="s">
        <v>107</v>
      </c>
      <c r="G159" s="2" t="s">
        <v>1662</v>
      </c>
      <c r="H159" s="2" t="s">
        <v>861</v>
      </c>
      <c r="I159" s="2" t="s">
        <v>862</v>
      </c>
      <c r="J159" s="2" t="s">
        <v>1593</v>
      </c>
      <c r="K159" s="2"/>
      <c r="L159" s="2" t="s">
        <v>1937</v>
      </c>
    </row>
    <row r="160">
      <c r="A160" s="2" t="s">
        <v>572</v>
      </c>
      <c r="B160" s="2">
        <v>68</v>
      </c>
      <c r="C160" s="2" t="s">
        <v>41</v>
      </c>
      <c r="D160" s="2" t="s">
        <v>863</v>
      </c>
      <c r="E160" s="2" t="s">
        <v>1938</v>
      </c>
      <c r="F160" s="2" t="s">
        <v>865</v>
      </c>
      <c r="G160" s="2" t="s">
        <v>1596</v>
      </c>
      <c r="H160" s="2" t="s">
        <v>866</v>
      </c>
      <c r="I160" s="2" t="s">
        <v>867</v>
      </c>
      <c r="J160" s="2" t="s">
        <v>1593</v>
      </c>
      <c r="K160" s="2" t="s">
        <v>145</v>
      </c>
      <c r="L160" s="2" t="s">
        <v>1939</v>
      </c>
    </row>
    <row r="161">
      <c r="A161" s="2" t="s">
        <v>572</v>
      </c>
      <c r="B161" s="2">
        <v>69</v>
      </c>
      <c r="C161" s="2" t="s">
        <v>110</v>
      </c>
      <c r="D161" s="2" t="s">
        <v>868</v>
      </c>
      <c r="E161" s="2" t="s">
        <v>1940</v>
      </c>
      <c r="F161" s="2" t="s">
        <v>422</v>
      </c>
      <c r="G161" s="2" t="s">
        <v>1941</v>
      </c>
      <c r="H161" s="2" t="s">
        <v>869</v>
      </c>
      <c r="I161" s="2" t="s">
        <v>870</v>
      </c>
      <c r="J161" s="2" t="s">
        <v>1593</v>
      </c>
      <c r="K161" s="2" t="s">
        <v>81</v>
      </c>
      <c r="L161" s="2" t="s">
        <v>1942</v>
      </c>
    </row>
    <row r="162">
      <c r="A162" s="2" t="s">
        <v>572</v>
      </c>
      <c r="B162" s="2">
        <v>70</v>
      </c>
      <c r="C162" s="2" t="s">
        <v>117</v>
      </c>
      <c r="D162" s="2" t="s">
        <v>871</v>
      </c>
      <c r="E162" s="2" t="s">
        <v>1943</v>
      </c>
      <c r="F162" s="2" t="s">
        <v>874</v>
      </c>
      <c r="G162" s="2" t="s">
        <v>1675</v>
      </c>
      <c r="H162" s="2" t="s">
        <v>875</v>
      </c>
      <c r="I162" s="2" t="s">
        <v>876</v>
      </c>
      <c r="J162" s="2" t="s">
        <v>1593</v>
      </c>
      <c r="K162" s="2"/>
      <c r="L162" s="2" t="s">
        <v>1944</v>
      </c>
    </row>
    <row r="163">
      <c r="A163" s="2" t="s">
        <v>572</v>
      </c>
      <c r="B163" s="2">
        <v>71</v>
      </c>
      <c r="C163" s="2" t="s">
        <v>117</v>
      </c>
      <c r="D163" s="2" t="s">
        <v>877</v>
      </c>
      <c r="E163" s="2" t="s">
        <v>1945</v>
      </c>
      <c r="F163" s="2" t="s">
        <v>67</v>
      </c>
      <c r="G163" s="2" t="s">
        <v>1733</v>
      </c>
      <c r="H163" s="2" t="s">
        <v>880</v>
      </c>
      <c r="I163" s="2" t="s">
        <v>881</v>
      </c>
      <c r="J163" s="2" t="s">
        <v>1593</v>
      </c>
      <c r="K163" s="2" t="s">
        <v>191</v>
      </c>
      <c r="L163" s="2" t="s">
        <v>1946</v>
      </c>
    </row>
    <row r="164">
      <c r="A164" s="2" t="s">
        <v>572</v>
      </c>
      <c r="B164" s="2">
        <v>72</v>
      </c>
      <c r="C164" s="2" t="s">
        <v>56</v>
      </c>
      <c r="D164" s="2" t="s">
        <v>882</v>
      </c>
      <c r="E164" s="2" t="s">
        <v>1947</v>
      </c>
      <c r="F164" s="2" t="s">
        <v>67</v>
      </c>
      <c r="G164" s="2" t="s">
        <v>1712</v>
      </c>
      <c r="H164" s="2" t="s">
        <v>884</v>
      </c>
      <c r="I164" s="2" t="s">
        <v>885</v>
      </c>
      <c r="J164" s="2" t="s">
        <v>1593</v>
      </c>
      <c r="K164" s="2"/>
      <c r="L164" s="2" t="s">
        <v>1948</v>
      </c>
    </row>
    <row r="165">
      <c r="A165" s="2" t="s">
        <v>572</v>
      </c>
      <c r="B165" s="2">
        <v>73</v>
      </c>
      <c r="C165" s="2" t="s">
        <v>117</v>
      </c>
      <c r="D165" s="2" t="s">
        <v>886</v>
      </c>
      <c r="E165" s="2" t="s">
        <v>1949</v>
      </c>
      <c r="F165" s="2" t="s">
        <v>889</v>
      </c>
      <c r="G165" s="2" t="s">
        <v>1652</v>
      </c>
      <c r="H165" s="2" t="s">
        <v>890</v>
      </c>
      <c r="I165" s="2" t="s">
        <v>891</v>
      </c>
      <c r="J165" s="2" t="s">
        <v>1593</v>
      </c>
      <c r="K165" s="2"/>
      <c r="L165" s="2" t="s">
        <v>1950</v>
      </c>
    </row>
    <row r="166">
      <c r="A166" s="2" t="s">
        <v>572</v>
      </c>
      <c r="B166" s="2">
        <v>74</v>
      </c>
      <c r="C166" s="2" t="s">
        <v>82</v>
      </c>
      <c r="D166" s="2" t="s">
        <v>892</v>
      </c>
      <c r="E166" s="2" t="s">
        <v>1951</v>
      </c>
      <c r="F166" s="2" t="s">
        <v>397</v>
      </c>
      <c r="G166" s="2" t="s">
        <v>1726</v>
      </c>
      <c r="H166" s="2" t="s">
        <v>894</v>
      </c>
      <c r="I166" s="2" t="s">
        <v>895</v>
      </c>
      <c r="J166" s="2" t="s">
        <v>1593</v>
      </c>
      <c r="K166" s="2"/>
      <c r="L166" s="2" t="s">
        <v>1952</v>
      </c>
    </row>
    <row r="167">
      <c r="A167" s="2" t="s">
        <v>572</v>
      </c>
      <c r="B167" s="2">
        <v>75</v>
      </c>
      <c r="C167" s="2" t="s">
        <v>56</v>
      </c>
      <c r="D167" s="2" t="s">
        <v>896</v>
      </c>
      <c r="E167" s="2" t="s">
        <v>1953</v>
      </c>
      <c r="F167" s="2" t="s">
        <v>78</v>
      </c>
      <c r="G167" s="2" t="s">
        <v>1954</v>
      </c>
      <c r="H167" s="2" t="s">
        <v>900</v>
      </c>
      <c r="I167" s="2" t="s">
        <v>901</v>
      </c>
      <c r="J167" s="2" t="s">
        <v>1593</v>
      </c>
      <c r="K167" s="2" t="s">
        <v>81</v>
      </c>
      <c r="L167" s="2" t="s">
        <v>1955</v>
      </c>
    </row>
    <row r="168">
      <c r="A168" s="2" t="s">
        <v>572</v>
      </c>
      <c r="B168" s="2">
        <v>76</v>
      </c>
      <c r="C168" s="2" t="s">
        <v>239</v>
      </c>
      <c r="D168" s="2" t="s">
        <v>902</v>
      </c>
      <c r="E168" s="2" t="s">
        <v>1956</v>
      </c>
      <c r="F168" s="2" t="s">
        <v>904</v>
      </c>
      <c r="G168" s="2" t="s">
        <v>1616</v>
      </c>
      <c r="H168" s="2" t="s">
        <v>905</v>
      </c>
      <c r="I168" s="2" t="s">
        <v>906</v>
      </c>
      <c r="J168" s="2" t="s">
        <v>1593</v>
      </c>
      <c r="K168" s="2" t="s">
        <v>81</v>
      </c>
      <c r="L168" s="2" t="s">
        <v>1957</v>
      </c>
    </row>
    <row r="169">
      <c r="A169" s="2" t="s">
        <v>572</v>
      </c>
      <c r="B169" s="2">
        <v>77</v>
      </c>
      <c r="C169" s="2" t="s">
        <v>117</v>
      </c>
      <c r="D169" s="2" t="s">
        <v>907</v>
      </c>
      <c r="E169" s="2" t="s">
        <v>1958</v>
      </c>
      <c r="F169" s="2" t="s">
        <v>910</v>
      </c>
      <c r="G169" s="2" t="s">
        <v>1606</v>
      </c>
      <c r="H169" s="2" t="s">
        <v>911</v>
      </c>
      <c r="I169" s="2" t="s">
        <v>912</v>
      </c>
      <c r="J169" s="2" t="s">
        <v>1593</v>
      </c>
      <c r="K169" s="2" t="s">
        <v>81</v>
      </c>
      <c r="L169" s="2" t="s">
        <v>1959</v>
      </c>
    </row>
    <row r="170">
      <c r="A170" s="2" t="s">
        <v>572</v>
      </c>
      <c r="B170" s="2">
        <v>78</v>
      </c>
      <c r="C170" s="2" t="s">
        <v>110</v>
      </c>
      <c r="D170" s="2" t="s">
        <v>457</v>
      </c>
      <c r="E170" s="2" t="s">
        <v>1767</v>
      </c>
      <c r="F170" s="2" t="s">
        <v>249</v>
      </c>
      <c r="G170" s="2" t="s">
        <v>1768</v>
      </c>
      <c r="H170" s="2" t="s">
        <v>461</v>
      </c>
      <c r="I170" s="2" t="s">
        <v>462</v>
      </c>
      <c r="J170" s="2" t="s">
        <v>1597</v>
      </c>
      <c r="K170" s="2"/>
      <c r="L170" s="2" t="s">
        <v>1769</v>
      </c>
    </row>
    <row r="171">
      <c r="A171" s="2" t="s">
        <v>572</v>
      </c>
      <c r="B171" s="2">
        <v>79</v>
      </c>
      <c r="C171" s="2" t="s">
        <v>82</v>
      </c>
      <c r="D171" s="2" t="s">
        <v>482</v>
      </c>
      <c r="E171" s="2" t="s">
        <v>1779</v>
      </c>
      <c r="F171" s="2" t="s">
        <v>172</v>
      </c>
      <c r="G171" s="2" t="s">
        <v>1780</v>
      </c>
      <c r="H171" s="2" t="s">
        <v>485</v>
      </c>
      <c r="I171" s="2" t="s">
        <v>486</v>
      </c>
      <c r="J171" s="2" t="s">
        <v>1593</v>
      </c>
      <c r="K171" s="2" t="s">
        <v>81</v>
      </c>
      <c r="L171" s="2" t="s">
        <v>1781</v>
      </c>
    </row>
    <row r="172">
      <c r="A172" s="2" t="s">
        <v>572</v>
      </c>
      <c r="B172" s="2">
        <v>80</v>
      </c>
      <c r="C172" s="2" t="s">
        <v>221</v>
      </c>
      <c r="D172" s="2" t="s">
        <v>913</v>
      </c>
      <c r="E172" s="2" t="s">
        <v>1960</v>
      </c>
      <c r="F172" s="2" t="s">
        <v>281</v>
      </c>
      <c r="G172" s="2" t="s">
        <v>1961</v>
      </c>
      <c r="H172" s="2" t="s">
        <v>915</v>
      </c>
      <c r="I172" s="2" t="s">
        <v>916</v>
      </c>
      <c r="J172" s="2" t="s">
        <v>1593</v>
      </c>
      <c r="K172" s="2"/>
      <c r="L172" s="2" t="s">
        <v>1962</v>
      </c>
    </row>
    <row r="173">
      <c r="A173" s="2" t="s">
        <v>572</v>
      </c>
      <c r="B173" s="2">
        <v>81</v>
      </c>
      <c r="C173" s="2" t="s">
        <v>117</v>
      </c>
      <c r="D173" s="2" t="s">
        <v>917</v>
      </c>
      <c r="E173" s="2" t="s">
        <v>1963</v>
      </c>
      <c r="F173" s="2" t="s">
        <v>919</v>
      </c>
      <c r="G173" s="2" t="s">
        <v>1791</v>
      </c>
      <c r="H173" s="2" t="s">
        <v>920</v>
      </c>
      <c r="I173" s="2" t="s">
        <v>921</v>
      </c>
      <c r="J173" s="2" t="s">
        <v>1593</v>
      </c>
      <c r="K173" s="2"/>
      <c r="L173" s="2" t="s">
        <v>1964</v>
      </c>
    </row>
    <row r="174">
      <c r="A174" s="2" t="s">
        <v>572</v>
      </c>
      <c r="B174" s="2">
        <v>82</v>
      </c>
      <c r="C174" s="2" t="s">
        <v>117</v>
      </c>
      <c r="D174" s="2" t="s">
        <v>922</v>
      </c>
      <c r="E174" s="2" t="s">
        <v>1965</v>
      </c>
      <c r="F174" s="2" t="s">
        <v>344</v>
      </c>
      <c r="G174" s="2" t="s">
        <v>1596</v>
      </c>
      <c r="H174" s="2" t="s">
        <v>924</v>
      </c>
      <c r="I174" s="2" t="s">
        <v>925</v>
      </c>
      <c r="J174" s="2" t="s">
        <v>1593</v>
      </c>
      <c r="K174" s="2"/>
      <c r="L174" s="2" t="s">
        <v>1966</v>
      </c>
    </row>
    <row r="175">
      <c r="A175" s="2" t="s">
        <v>572</v>
      </c>
      <c r="B175" s="2">
        <v>83</v>
      </c>
      <c r="C175" s="2" t="s">
        <v>117</v>
      </c>
      <c r="D175" s="2" t="s">
        <v>926</v>
      </c>
      <c r="E175" s="2" t="s">
        <v>1967</v>
      </c>
      <c r="F175" s="2" t="s">
        <v>135</v>
      </c>
      <c r="G175" s="2" t="s">
        <v>1606</v>
      </c>
      <c r="H175" s="2" t="s">
        <v>928</v>
      </c>
      <c r="I175" s="2" t="s">
        <v>929</v>
      </c>
      <c r="J175" s="2" t="s">
        <v>1593</v>
      </c>
      <c r="K175" s="2"/>
      <c r="L175" s="2" t="s">
        <v>1968</v>
      </c>
    </row>
    <row r="176">
      <c r="A176" s="2" t="s">
        <v>572</v>
      </c>
      <c r="B176" s="2">
        <v>84</v>
      </c>
      <c r="C176" s="2" t="s">
        <v>221</v>
      </c>
      <c r="D176" s="2" t="s">
        <v>930</v>
      </c>
      <c r="E176" s="2" t="s">
        <v>1969</v>
      </c>
      <c r="F176" s="2" t="s">
        <v>165</v>
      </c>
      <c r="G176" s="2" t="s">
        <v>1970</v>
      </c>
      <c r="H176" s="2" t="s">
        <v>933</v>
      </c>
      <c r="I176" s="2" t="s">
        <v>934</v>
      </c>
      <c r="J176" s="2" t="s">
        <v>1593</v>
      </c>
      <c r="K176" s="2" t="s">
        <v>81</v>
      </c>
      <c r="L176" s="2" t="s">
        <v>1971</v>
      </c>
    </row>
    <row r="177">
      <c r="A177" s="2" t="s">
        <v>572</v>
      </c>
      <c r="B177" s="2">
        <v>85</v>
      </c>
      <c r="C177" s="2" t="s">
        <v>192</v>
      </c>
      <c r="D177" s="2" t="s">
        <v>935</v>
      </c>
      <c r="E177" s="2" t="s">
        <v>1972</v>
      </c>
      <c r="F177" s="2" t="s">
        <v>938</v>
      </c>
      <c r="G177" s="2" t="s">
        <v>1973</v>
      </c>
      <c r="H177" s="2" t="s">
        <v>939</v>
      </c>
      <c r="I177" s="2" t="s">
        <v>940</v>
      </c>
      <c r="J177" s="2" t="s">
        <v>1593</v>
      </c>
      <c r="K177" s="2" t="s">
        <v>563</v>
      </c>
      <c r="L177" s="2" t="s">
        <v>1974</v>
      </c>
    </row>
    <row r="178">
      <c r="A178" s="2" t="s">
        <v>572</v>
      </c>
      <c r="B178" s="2">
        <v>86</v>
      </c>
      <c r="C178" s="2" t="s">
        <v>41</v>
      </c>
      <c r="D178" s="2" t="s">
        <v>941</v>
      </c>
      <c r="E178" s="2" t="s">
        <v>1975</v>
      </c>
      <c r="F178" s="2" t="s">
        <v>946</v>
      </c>
      <c r="G178" s="2" t="s">
        <v>1596</v>
      </c>
      <c r="H178" s="2" t="s">
        <v>947</v>
      </c>
      <c r="I178" s="2" t="s">
        <v>948</v>
      </c>
      <c r="J178" s="2" t="s">
        <v>1593</v>
      </c>
      <c r="K178" s="2"/>
      <c r="L178" s="2" t="s">
        <v>1976</v>
      </c>
    </row>
    <row r="179">
      <c r="A179" s="2" t="s">
        <v>572</v>
      </c>
      <c r="B179" s="2">
        <v>87</v>
      </c>
      <c r="C179" s="2" t="s">
        <v>117</v>
      </c>
      <c r="D179" s="2" t="s">
        <v>949</v>
      </c>
      <c r="E179" s="2" t="s">
        <v>1977</v>
      </c>
      <c r="F179" s="2" t="s">
        <v>705</v>
      </c>
      <c r="G179" s="2" t="s">
        <v>1625</v>
      </c>
      <c r="H179" s="2" t="s">
        <v>951</v>
      </c>
      <c r="I179" s="2" t="s">
        <v>952</v>
      </c>
      <c r="J179" s="2" t="s">
        <v>1593</v>
      </c>
      <c r="K179" s="2"/>
      <c r="L179" s="2" t="s">
        <v>1978</v>
      </c>
    </row>
    <row r="180">
      <c r="A180" s="2" t="s">
        <v>572</v>
      </c>
      <c r="B180" s="2">
        <v>88</v>
      </c>
      <c r="C180" s="2" t="s">
        <v>56</v>
      </c>
      <c r="D180" s="2" t="s">
        <v>953</v>
      </c>
      <c r="E180" s="2" t="s">
        <v>1979</v>
      </c>
      <c r="F180" s="2" t="s">
        <v>904</v>
      </c>
      <c r="G180" s="2" t="s">
        <v>1644</v>
      </c>
      <c r="H180" s="2" t="s">
        <v>955</v>
      </c>
      <c r="I180" s="2" t="s">
        <v>956</v>
      </c>
      <c r="J180" s="2" t="s">
        <v>1593</v>
      </c>
      <c r="K180" s="2" t="s">
        <v>81</v>
      </c>
      <c r="L180" s="2" t="s">
        <v>1980</v>
      </c>
    </row>
    <row r="181">
      <c r="A181" s="2" t="s">
        <v>572</v>
      </c>
      <c r="B181" s="2">
        <v>89</v>
      </c>
      <c r="C181" s="2" t="s">
        <v>110</v>
      </c>
      <c r="D181" s="2" t="s">
        <v>519</v>
      </c>
      <c r="E181" s="2" t="s">
        <v>1797</v>
      </c>
      <c r="F181" s="2" t="s">
        <v>249</v>
      </c>
      <c r="G181" s="2" t="s">
        <v>1723</v>
      </c>
      <c r="H181" s="2" t="s">
        <v>520</v>
      </c>
      <c r="I181" s="2" t="s">
        <v>521</v>
      </c>
      <c r="J181" s="2" t="s">
        <v>1597</v>
      </c>
      <c r="K181" s="2"/>
      <c r="L181" s="2" t="s">
        <v>1798</v>
      </c>
    </row>
    <row r="182">
      <c r="A182" s="2" t="s">
        <v>572</v>
      </c>
      <c r="B182" s="2">
        <v>90</v>
      </c>
      <c r="C182" s="2" t="s">
        <v>239</v>
      </c>
      <c r="D182" s="2" t="s">
        <v>957</v>
      </c>
      <c r="E182" s="2" t="s">
        <v>1981</v>
      </c>
      <c r="F182" s="2" t="s">
        <v>418</v>
      </c>
      <c r="G182" s="2" t="s">
        <v>1675</v>
      </c>
      <c r="H182" s="2" t="s">
        <v>960</v>
      </c>
      <c r="I182" s="2" t="s">
        <v>961</v>
      </c>
      <c r="J182" s="2" t="s">
        <v>1593</v>
      </c>
      <c r="K182" s="2"/>
      <c r="L182" s="2" t="s">
        <v>1982</v>
      </c>
    </row>
    <row r="183">
      <c r="A183" s="2" t="s">
        <v>572</v>
      </c>
      <c r="B183" s="2">
        <v>91</v>
      </c>
      <c r="C183" s="2" t="s">
        <v>239</v>
      </c>
      <c r="D183" s="2" t="s">
        <v>962</v>
      </c>
      <c r="E183" s="2" t="s">
        <v>1983</v>
      </c>
      <c r="F183" s="2" t="s">
        <v>964</v>
      </c>
      <c r="G183" s="2" t="s">
        <v>1733</v>
      </c>
      <c r="H183" s="2" t="s">
        <v>965</v>
      </c>
      <c r="I183" s="2" t="s">
        <v>966</v>
      </c>
      <c r="J183" s="2" t="s">
        <v>1593</v>
      </c>
      <c r="K183" s="2" t="s">
        <v>81</v>
      </c>
      <c r="L183" s="2" t="s">
        <v>1984</v>
      </c>
    </row>
    <row r="184">
      <c r="A184" s="2" t="s">
        <v>572</v>
      </c>
      <c r="B184" s="2">
        <v>92</v>
      </c>
      <c r="C184" s="2" t="s">
        <v>82</v>
      </c>
      <c r="D184" s="2" t="s">
        <v>967</v>
      </c>
      <c r="E184" s="2" t="s">
        <v>1985</v>
      </c>
      <c r="F184" s="2" t="s">
        <v>418</v>
      </c>
      <c r="G184" s="2" t="s">
        <v>1879</v>
      </c>
      <c r="H184" s="2" t="s">
        <v>970</v>
      </c>
      <c r="I184" s="2" t="s">
        <v>971</v>
      </c>
      <c r="J184" s="2" t="s">
        <v>1593</v>
      </c>
      <c r="K184" s="2"/>
      <c r="L184" s="2" t="s">
        <v>1986</v>
      </c>
    </row>
    <row r="185">
      <c r="A185" s="2" t="s">
        <v>572</v>
      </c>
      <c r="B185" s="2">
        <v>93</v>
      </c>
      <c r="C185" s="2" t="s">
        <v>117</v>
      </c>
      <c r="D185" s="2" t="s">
        <v>564</v>
      </c>
      <c r="E185" s="2" t="s">
        <v>1818</v>
      </c>
      <c r="F185" s="2" t="s">
        <v>567</v>
      </c>
      <c r="G185" s="2" t="s">
        <v>1606</v>
      </c>
      <c r="H185" s="2" t="s">
        <v>568</v>
      </c>
      <c r="I185" s="2" t="s">
        <v>569</v>
      </c>
      <c r="J185" s="2" t="s">
        <v>1619</v>
      </c>
      <c r="K185" s="2" t="s">
        <v>145</v>
      </c>
      <c r="L185" s="2" t="s">
        <v>1819</v>
      </c>
    </row>
    <row r="186">
      <c r="A186" s="2" t="s">
        <v>572</v>
      </c>
      <c r="B186" s="2">
        <v>94</v>
      </c>
      <c r="C186" s="2" t="s">
        <v>41</v>
      </c>
      <c r="D186" s="2" t="s">
        <v>972</v>
      </c>
      <c r="E186" s="2" t="s">
        <v>1987</v>
      </c>
      <c r="F186" s="2" t="s">
        <v>976</v>
      </c>
      <c r="G186" s="2" t="s">
        <v>1596</v>
      </c>
      <c r="H186" s="2" t="s">
        <v>977</v>
      </c>
      <c r="I186" s="2" t="s">
        <v>978</v>
      </c>
      <c r="J186" s="2" t="s">
        <v>1593</v>
      </c>
      <c r="K186" s="2" t="s">
        <v>81</v>
      </c>
      <c r="L186" s="2" t="s">
        <v>1988</v>
      </c>
    </row>
    <row r="187">
      <c r="A187" s="2" t="s">
        <v>980</v>
      </c>
      <c r="B187" s="2">
        <v>1</v>
      </c>
      <c r="C187" s="2" t="s">
        <v>82</v>
      </c>
      <c r="D187" s="2" t="s">
        <v>979</v>
      </c>
      <c r="E187" s="2" t="s">
        <v>1989</v>
      </c>
      <c r="F187" s="2" t="s">
        <v>987</v>
      </c>
      <c r="G187" s="2" t="s">
        <v>1606</v>
      </c>
      <c r="H187" s="2" t="s">
        <v>988</v>
      </c>
      <c r="I187" s="2" t="s">
        <v>989</v>
      </c>
      <c r="J187" s="2" t="s">
        <v>1619</v>
      </c>
      <c r="K187" s="2"/>
      <c r="L187" s="2" t="s">
        <v>1990</v>
      </c>
    </row>
    <row r="188">
      <c r="A188" s="2" t="s">
        <v>980</v>
      </c>
      <c r="B188" s="2">
        <v>2</v>
      </c>
      <c r="C188" s="2" t="s">
        <v>131</v>
      </c>
      <c r="D188" s="2" t="s">
        <v>990</v>
      </c>
      <c r="E188" s="2" t="s">
        <v>1991</v>
      </c>
      <c r="F188" s="2" t="s">
        <v>994</v>
      </c>
      <c r="G188" s="2" t="s">
        <v>1992</v>
      </c>
      <c r="H188" s="2" t="s">
        <v>995</v>
      </c>
      <c r="I188" s="2" t="s">
        <v>996</v>
      </c>
      <c r="J188" s="2" t="s">
        <v>1593</v>
      </c>
      <c r="K188" s="2" t="s">
        <v>563</v>
      </c>
      <c r="L188" s="2" t="s">
        <v>1993</v>
      </c>
    </row>
    <row r="189">
      <c r="A189" s="2" t="s">
        <v>980</v>
      </c>
      <c r="B189" s="2">
        <v>3</v>
      </c>
      <c r="C189" s="2" t="s">
        <v>117</v>
      </c>
      <c r="D189" s="2" t="s">
        <v>997</v>
      </c>
      <c r="E189" s="2" t="s">
        <v>1994</v>
      </c>
      <c r="F189" s="2" t="s">
        <v>1001</v>
      </c>
      <c r="G189" s="2" t="s">
        <v>1596</v>
      </c>
      <c r="H189" s="2" t="s">
        <v>1002</v>
      </c>
      <c r="I189" s="2" t="s">
        <v>1003</v>
      </c>
      <c r="J189" s="2" t="s">
        <v>1619</v>
      </c>
      <c r="K189" s="2"/>
      <c r="L189" s="2" t="s">
        <v>1995</v>
      </c>
    </row>
    <row r="190">
      <c r="A190" s="2" t="s">
        <v>980</v>
      </c>
      <c r="B190" s="2">
        <v>4</v>
      </c>
      <c r="C190" s="2" t="s">
        <v>117</v>
      </c>
      <c r="D190" s="2" t="s">
        <v>1004</v>
      </c>
      <c r="E190" s="2" t="s">
        <v>1996</v>
      </c>
      <c r="F190" s="2" t="s">
        <v>1007</v>
      </c>
      <c r="G190" s="2" t="s">
        <v>1596</v>
      </c>
      <c r="H190" s="2" t="s">
        <v>1008</v>
      </c>
      <c r="I190" s="2" t="s">
        <v>1009</v>
      </c>
      <c r="J190" s="2" t="s">
        <v>1619</v>
      </c>
      <c r="K190" s="2"/>
      <c r="L190" s="2" t="s">
        <v>1997</v>
      </c>
    </row>
    <row r="191">
      <c r="A191" s="2" t="s">
        <v>980</v>
      </c>
      <c r="B191" s="2">
        <v>5</v>
      </c>
      <c r="C191" s="2" t="s">
        <v>82</v>
      </c>
      <c r="D191" s="2" t="s">
        <v>1010</v>
      </c>
      <c r="E191" s="2" t="s">
        <v>1998</v>
      </c>
      <c r="F191" s="2" t="s">
        <v>1014</v>
      </c>
      <c r="G191" s="2" t="s">
        <v>1634</v>
      </c>
      <c r="H191" s="2" t="s">
        <v>1015</v>
      </c>
      <c r="I191" s="2" t="s">
        <v>1016</v>
      </c>
      <c r="J191" s="2" t="s">
        <v>1619</v>
      </c>
      <c r="K191" s="2"/>
      <c r="L191" s="2" t="s">
        <v>1999</v>
      </c>
    </row>
    <row r="192">
      <c r="A192" s="2" t="s">
        <v>980</v>
      </c>
      <c r="B192" s="2">
        <v>6</v>
      </c>
      <c r="C192" s="2" t="s">
        <v>82</v>
      </c>
      <c r="D192" s="2" t="s">
        <v>1017</v>
      </c>
      <c r="E192" s="2" t="s">
        <v>2000</v>
      </c>
      <c r="F192" s="2" t="s">
        <v>1019</v>
      </c>
      <c r="G192" s="2" t="s">
        <v>1637</v>
      </c>
      <c r="H192" s="2" t="s">
        <v>1020</v>
      </c>
      <c r="I192" s="2" t="s">
        <v>1021</v>
      </c>
      <c r="J192" s="2" t="s">
        <v>1593</v>
      </c>
      <c r="K192" s="2" t="s">
        <v>191</v>
      </c>
      <c r="L192" s="2" t="s">
        <v>2001</v>
      </c>
    </row>
    <row r="193">
      <c r="A193" s="2" t="s">
        <v>980</v>
      </c>
      <c r="B193" s="2">
        <v>7</v>
      </c>
      <c r="C193" s="2" t="s">
        <v>56</v>
      </c>
      <c r="D193" s="2" t="s">
        <v>1022</v>
      </c>
      <c r="E193" s="2" t="s">
        <v>2002</v>
      </c>
      <c r="F193" s="2" t="s">
        <v>1025</v>
      </c>
      <c r="G193" s="2" t="s">
        <v>1662</v>
      </c>
      <c r="H193" s="2" t="s">
        <v>1026</v>
      </c>
      <c r="I193" s="2" t="s">
        <v>1027</v>
      </c>
      <c r="J193" s="2" t="s">
        <v>1619</v>
      </c>
      <c r="K193" s="2"/>
      <c r="L193" s="2" t="s">
        <v>2003</v>
      </c>
    </row>
    <row r="194">
      <c r="A194" s="2" t="s">
        <v>980</v>
      </c>
      <c r="B194" s="2">
        <v>8</v>
      </c>
      <c r="C194" s="2" t="s">
        <v>117</v>
      </c>
      <c r="D194" s="2" t="s">
        <v>1028</v>
      </c>
      <c r="E194" s="2" t="s">
        <v>2004</v>
      </c>
      <c r="F194" s="2" t="s">
        <v>1030</v>
      </c>
      <c r="G194" s="2" t="s">
        <v>1791</v>
      </c>
      <c r="H194" s="2" t="s">
        <v>1031</v>
      </c>
      <c r="I194" s="2" t="s">
        <v>1032</v>
      </c>
      <c r="J194" s="2" t="s">
        <v>1619</v>
      </c>
      <c r="K194" s="2"/>
      <c r="L194" s="2" t="s">
        <v>2005</v>
      </c>
    </row>
    <row r="195">
      <c r="A195" s="2" t="s">
        <v>980</v>
      </c>
      <c r="B195" s="2">
        <v>9</v>
      </c>
      <c r="C195" s="2" t="s">
        <v>56</v>
      </c>
      <c r="D195" s="2" t="s">
        <v>1033</v>
      </c>
      <c r="E195" s="2" t="s">
        <v>2006</v>
      </c>
      <c r="F195" s="2" t="s">
        <v>1036</v>
      </c>
      <c r="G195" s="2" t="s">
        <v>2007</v>
      </c>
      <c r="H195" s="2" t="s">
        <v>1037</v>
      </c>
      <c r="I195" s="2" t="s">
        <v>1038</v>
      </c>
      <c r="J195" s="2" t="s">
        <v>1593</v>
      </c>
      <c r="K195" s="2" t="s">
        <v>191</v>
      </c>
      <c r="L195" s="2" t="s">
        <v>2008</v>
      </c>
    </row>
    <row r="196">
      <c r="A196" s="2" t="s">
        <v>980</v>
      </c>
      <c r="B196" s="2">
        <v>10</v>
      </c>
      <c r="C196" s="2" t="s">
        <v>117</v>
      </c>
      <c r="D196" s="2" t="s">
        <v>1039</v>
      </c>
      <c r="E196" s="2" t="s">
        <v>2009</v>
      </c>
      <c r="F196" s="2" t="s">
        <v>1042</v>
      </c>
      <c r="G196" s="2" t="s">
        <v>1596</v>
      </c>
      <c r="H196" s="2" t="s">
        <v>1043</v>
      </c>
      <c r="I196" s="2" t="s">
        <v>1044</v>
      </c>
      <c r="J196" s="2" t="s">
        <v>1619</v>
      </c>
      <c r="K196" s="2"/>
      <c r="L196" s="2" t="s">
        <v>2010</v>
      </c>
    </row>
    <row r="197">
      <c r="A197" s="2" t="s">
        <v>980</v>
      </c>
      <c r="B197" s="2">
        <v>11</v>
      </c>
      <c r="C197" s="2" t="s">
        <v>117</v>
      </c>
      <c r="D197" s="2" t="s">
        <v>1045</v>
      </c>
      <c r="E197" s="2" t="s">
        <v>2011</v>
      </c>
      <c r="F197" s="2" t="s">
        <v>1048</v>
      </c>
      <c r="G197" s="2" t="s">
        <v>1596</v>
      </c>
      <c r="H197" s="2" t="s">
        <v>1049</v>
      </c>
      <c r="I197" s="2" t="s">
        <v>1050</v>
      </c>
      <c r="J197" s="2" t="s">
        <v>1619</v>
      </c>
      <c r="K197" s="2"/>
      <c r="L197" s="2" t="s">
        <v>2012</v>
      </c>
    </row>
    <row r="198">
      <c r="A198" s="2" t="s">
        <v>980</v>
      </c>
      <c r="B198" s="2">
        <v>12</v>
      </c>
      <c r="C198" s="2" t="s">
        <v>117</v>
      </c>
      <c r="D198" s="2" t="s">
        <v>1051</v>
      </c>
      <c r="E198" s="2" t="s">
        <v>2013</v>
      </c>
      <c r="F198" s="2" t="s">
        <v>1054</v>
      </c>
      <c r="G198" s="2" t="s">
        <v>1596</v>
      </c>
      <c r="H198" s="2" t="s">
        <v>1055</v>
      </c>
      <c r="I198" s="2" t="s">
        <v>1056</v>
      </c>
      <c r="J198" s="2" t="s">
        <v>1619</v>
      </c>
      <c r="K198" s="2"/>
      <c r="L198" s="2" t="s">
        <v>2014</v>
      </c>
    </row>
    <row r="199">
      <c r="A199" s="2" t="s">
        <v>980</v>
      </c>
      <c r="B199" s="2">
        <v>13</v>
      </c>
      <c r="C199" s="2" t="s">
        <v>117</v>
      </c>
      <c r="D199" s="2" t="s">
        <v>1057</v>
      </c>
      <c r="E199" s="2" t="s">
        <v>2015</v>
      </c>
      <c r="F199" s="2" t="s">
        <v>1059</v>
      </c>
      <c r="G199" s="2" t="s">
        <v>1652</v>
      </c>
      <c r="H199" s="2" t="s">
        <v>1060</v>
      </c>
      <c r="I199" s="2" t="s">
        <v>1061</v>
      </c>
      <c r="J199" s="2" t="s">
        <v>1619</v>
      </c>
      <c r="K199" s="2"/>
      <c r="L199" s="2" t="s">
        <v>2016</v>
      </c>
    </row>
    <row r="200">
      <c r="A200" s="2" t="s">
        <v>980</v>
      </c>
      <c r="B200" s="2">
        <v>14</v>
      </c>
      <c r="C200" s="2" t="s">
        <v>82</v>
      </c>
      <c r="D200" s="2" t="s">
        <v>1062</v>
      </c>
      <c r="E200" s="2" t="s">
        <v>2017</v>
      </c>
      <c r="F200" s="2" t="s">
        <v>1065</v>
      </c>
      <c r="G200" s="2" t="s">
        <v>1675</v>
      </c>
      <c r="H200" s="2" t="s">
        <v>1066</v>
      </c>
      <c r="I200" s="2" t="s">
        <v>1067</v>
      </c>
      <c r="J200" s="2" t="s">
        <v>1619</v>
      </c>
      <c r="K200" s="2"/>
      <c r="L200" s="2" t="s">
        <v>2018</v>
      </c>
    </row>
    <row r="201">
      <c r="A201" s="2" t="s">
        <v>980</v>
      </c>
      <c r="B201" s="2">
        <v>15</v>
      </c>
      <c r="C201" s="2" t="s">
        <v>41</v>
      </c>
      <c r="D201" s="2" t="s">
        <v>1068</v>
      </c>
      <c r="E201" s="2" t="s">
        <v>2019</v>
      </c>
      <c r="F201" s="2" t="s">
        <v>1071</v>
      </c>
      <c r="G201" s="2" t="s">
        <v>1596</v>
      </c>
      <c r="H201" s="2" t="s">
        <v>1072</v>
      </c>
      <c r="I201" s="2" t="s">
        <v>1073</v>
      </c>
      <c r="J201" s="2" t="s">
        <v>1593</v>
      </c>
      <c r="K201" s="2"/>
      <c r="L201" s="2" t="s">
        <v>2020</v>
      </c>
    </row>
    <row r="202">
      <c r="A202" s="2" t="s">
        <v>980</v>
      </c>
      <c r="B202" s="2">
        <v>16</v>
      </c>
      <c r="C202" s="2" t="s">
        <v>82</v>
      </c>
      <c r="D202" s="2" t="s">
        <v>1074</v>
      </c>
      <c r="E202" s="2" t="s">
        <v>2021</v>
      </c>
      <c r="F202" s="2" t="s">
        <v>1078</v>
      </c>
      <c r="G202" s="2" t="s">
        <v>1667</v>
      </c>
      <c r="H202" s="2" t="s">
        <v>1079</v>
      </c>
      <c r="I202" s="2" t="s">
        <v>1080</v>
      </c>
      <c r="J202" s="2" t="s">
        <v>1593</v>
      </c>
      <c r="K202" s="2" t="s">
        <v>81</v>
      </c>
      <c r="L202" s="2" t="s">
        <v>2022</v>
      </c>
    </row>
    <row r="203">
      <c r="A203" s="2" t="s">
        <v>980</v>
      </c>
      <c r="B203" s="2">
        <v>17</v>
      </c>
      <c r="C203" s="2" t="s">
        <v>117</v>
      </c>
      <c r="D203" s="2" t="s">
        <v>1081</v>
      </c>
      <c r="E203" s="2" t="s">
        <v>2023</v>
      </c>
      <c r="F203" s="2" t="s">
        <v>1083</v>
      </c>
      <c r="G203" s="2" t="s">
        <v>1606</v>
      </c>
      <c r="H203" s="2" t="s">
        <v>1084</v>
      </c>
      <c r="I203" s="2" t="s">
        <v>1085</v>
      </c>
      <c r="J203" s="2" t="s">
        <v>1619</v>
      </c>
      <c r="K203" s="2"/>
      <c r="L203" s="2" t="s">
        <v>2024</v>
      </c>
    </row>
    <row r="204">
      <c r="A204" s="2" t="s">
        <v>980</v>
      </c>
      <c r="B204" s="2">
        <v>18</v>
      </c>
      <c r="C204" s="2" t="s">
        <v>41</v>
      </c>
      <c r="D204" s="2" t="s">
        <v>1086</v>
      </c>
      <c r="E204" s="2" t="s">
        <v>2025</v>
      </c>
      <c r="F204" s="2" t="s">
        <v>1089</v>
      </c>
      <c r="G204" s="2" t="s">
        <v>1596</v>
      </c>
      <c r="H204" s="2" t="s">
        <v>1090</v>
      </c>
      <c r="I204" s="2" t="s">
        <v>1091</v>
      </c>
      <c r="J204" s="2" t="s">
        <v>1619</v>
      </c>
      <c r="K204" s="2"/>
      <c r="L204" s="2" t="s">
        <v>2026</v>
      </c>
    </row>
    <row r="205">
      <c r="A205" s="2" t="s">
        <v>980</v>
      </c>
      <c r="B205" s="2">
        <v>19</v>
      </c>
      <c r="C205" s="2" t="s">
        <v>41</v>
      </c>
      <c r="D205" s="2" t="s">
        <v>1092</v>
      </c>
      <c r="E205" s="2" t="s">
        <v>2027</v>
      </c>
      <c r="F205" s="2" t="s">
        <v>1095</v>
      </c>
      <c r="G205" s="2" t="s">
        <v>1596</v>
      </c>
      <c r="H205" s="2" t="s">
        <v>1096</v>
      </c>
      <c r="I205" s="2" t="s">
        <v>1097</v>
      </c>
      <c r="J205" s="2" t="s">
        <v>1619</v>
      </c>
      <c r="K205" s="2"/>
      <c r="L205" s="2" t="s">
        <v>2028</v>
      </c>
    </row>
    <row r="206">
      <c r="A206" s="2" t="s">
        <v>980</v>
      </c>
      <c r="B206" s="2">
        <v>20</v>
      </c>
      <c r="C206" s="2" t="s">
        <v>41</v>
      </c>
      <c r="D206" s="2" t="s">
        <v>1098</v>
      </c>
      <c r="E206" s="2" t="s">
        <v>2029</v>
      </c>
      <c r="F206" s="2" t="s">
        <v>1099</v>
      </c>
      <c r="G206" s="2" t="s">
        <v>1596</v>
      </c>
      <c r="H206" s="2" t="s">
        <v>1100</v>
      </c>
      <c r="I206" s="2" t="s">
        <v>1101</v>
      </c>
      <c r="J206" s="2" t="s">
        <v>1593</v>
      </c>
      <c r="K206" s="2"/>
      <c r="L206" s="2" t="s">
        <v>2030</v>
      </c>
    </row>
    <row r="207">
      <c r="A207" s="2" t="s">
        <v>980</v>
      </c>
      <c r="B207" s="2">
        <v>21</v>
      </c>
      <c r="C207" s="2" t="s">
        <v>82</v>
      </c>
      <c r="D207" s="2" t="s">
        <v>1102</v>
      </c>
      <c r="E207" s="2" t="s">
        <v>2031</v>
      </c>
      <c r="F207" s="2" t="s">
        <v>1104</v>
      </c>
      <c r="G207" s="2" t="s">
        <v>1675</v>
      </c>
      <c r="H207" s="2" t="s">
        <v>1105</v>
      </c>
      <c r="I207" s="2" t="s">
        <v>1106</v>
      </c>
      <c r="J207" s="2" t="s">
        <v>1619</v>
      </c>
      <c r="K207" s="2" t="s">
        <v>81</v>
      </c>
      <c r="L207" s="2" t="s">
        <v>2032</v>
      </c>
    </row>
    <row r="208">
      <c r="A208" s="2" t="s">
        <v>980</v>
      </c>
      <c r="B208" s="2">
        <v>22</v>
      </c>
      <c r="C208" s="2" t="s">
        <v>82</v>
      </c>
      <c r="D208" s="2" t="s">
        <v>1107</v>
      </c>
      <c r="E208" s="2" t="s">
        <v>2033</v>
      </c>
      <c r="F208" s="2" t="s">
        <v>1110</v>
      </c>
      <c r="G208" s="2" t="s">
        <v>1807</v>
      </c>
      <c r="H208" s="2" t="s">
        <v>1111</v>
      </c>
      <c r="I208" s="2" t="s">
        <v>1112</v>
      </c>
      <c r="J208" s="2" t="s">
        <v>1593</v>
      </c>
      <c r="K208" s="2" t="s">
        <v>1113</v>
      </c>
      <c r="L208" s="2" t="s">
        <v>2034</v>
      </c>
    </row>
    <row r="209">
      <c r="A209" s="2" t="s">
        <v>980</v>
      </c>
      <c r="B209" s="2">
        <v>23</v>
      </c>
      <c r="C209" s="2" t="s">
        <v>41</v>
      </c>
      <c r="D209" s="2" t="s">
        <v>1114</v>
      </c>
      <c r="E209" s="2" t="s">
        <v>2035</v>
      </c>
      <c r="F209" s="2" t="s">
        <v>1116</v>
      </c>
      <c r="G209" s="2" t="s">
        <v>1596</v>
      </c>
      <c r="H209" s="2" t="s">
        <v>1117</v>
      </c>
      <c r="I209" s="2" t="s">
        <v>1118</v>
      </c>
      <c r="J209" s="2" t="s">
        <v>1593</v>
      </c>
      <c r="K209" s="2"/>
      <c r="L209" s="2" t="s">
        <v>2036</v>
      </c>
    </row>
    <row r="210">
      <c r="A210" s="2" t="s">
        <v>980</v>
      </c>
      <c r="B210" s="2">
        <v>24</v>
      </c>
      <c r="C210" s="2" t="s">
        <v>22</v>
      </c>
      <c r="D210" s="2" t="s">
        <v>1119</v>
      </c>
      <c r="E210" s="2" t="s">
        <v>2037</v>
      </c>
      <c r="F210" s="2" t="s">
        <v>1120</v>
      </c>
      <c r="G210" s="2" t="s">
        <v>2038</v>
      </c>
      <c r="H210" s="2" t="s">
        <v>1121</v>
      </c>
      <c r="I210" s="2" t="s">
        <v>1122</v>
      </c>
      <c r="J210" s="2" t="s">
        <v>1593</v>
      </c>
      <c r="K210" s="2"/>
      <c r="L210" s="2" t="s">
        <v>2039</v>
      </c>
    </row>
    <row r="211">
      <c r="A211" s="2" t="s">
        <v>980</v>
      </c>
      <c r="B211" s="2">
        <v>25</v>
      </c>
      <c r="C211" s="2" t="s">
        <v>117</v>
      </c>
      <c r="D211" s="2" t="s">
        <v>1123</v>
      </c>
      <c r="E211" s="2" t="s">
        <v>2040</v>
      </c>
      <c r="F211" s="2" t="s">
        <v>1126</v>
      </c>
      <c r="G211" s="2" t="s">
        <v>1596</v>
      </c>
      <c r="H211" s="2" t="s">
        <v>1127</v>
      </c>
      <c r="I211" s="2" t="s">
        <v>1128</v>
      </c>
      <c r="J211" s="2" t="s">
        <v>1619</v>
      </c>
      <c r="K211" s="2"/>
      <c r="L211" s="2" t="s">
        <v>2041</v>
      </c>
    </row>
    <row r="212">
      <c r="A212" s="2" t="s">
        <v>980</v>
      </c>
      <c r="B212" s="2">
        <v>26</v>
      </c>
      <c r="C212" s="2" t="s">
        <v>192</v>
      </c>
      <c r="D212" s="2" t="s">
        <v>1129</v>
      </c>
      <c r="E212" s="2" t="s">
        <v>2042</v>
      </c>
      <c r="F212" s="2" t="s">
        <v>1131</v>
      </c>
      <c r="G212" s="2" t="s">
        <v>1718</v>
      </c>
      <c r="H212" s="2" t="s">
        <v>1132</v>
      </c>
      <c r="I212" s="2" t="s">
        <v>1133</v>
      </c>
      <c r="J212" s="2" t="s">
        <v>1593</v>
      </c>
      <c r="K212" s="2" t="s">
        <v>197</v>
      </c>
      <c r="L212" s="2" t="s">
        <v>2043</v>
      </c>
    </row>
    <row r="213">
      <c r="A213" s="2" t="s">
        <v>980</v>
      </c>
      <c r="B213" s="2">
        <v>27</v>
      </c>
      <c r="C213" s="2" t="s">
        <v>41</v>
      </c>
      <c r="D213" s="2" t="s">
        <v>1134</v>
      </c>
      <c r="E213" s="2" t="s">
        <v>2044</v>
      </c>
      <c r="F213" s="2" t="s">
        <v>1059</v>
      </c>
      <c r="G213" s="2" t="s">
        <v>1606</v>
      </c>
      <c r="H213" s="2" t="s">
        <v>1136</v>
      </c>
      <c r="I213" s="2" t="s">
        <v>1137</v>
      </c>
      <c r="J213" s="2" t="s">
        <v>1619</v>
      </c>
      <c r="K213" s="2"/>
      <c r="L213" s="2" t="s">
        <v>2045</v>
      </c>
    </row>
    <row r="214">
      <c r="A214" s="2" t="s">
        <v>980</v>
      </c>
      <c r="B214" s="2">
        <v>28</v>
      </c>
      <c r="C214" s="2" t="s">
        <v>117</v>
      </c>
      <c r="D214" s="2" t="s">
        <v>1138</v>
      </c>
      <c r="E214" s="2" t="s">
        <v>2046</v>
      </c>
      <c r="F214" s="2" t="s">
        <v>1139</v>
      </c>
      <c r="G214" s="2" t="s">
        <v>1606</v>
      </c>
      <c r="H214" s="2" t="s">
        <v>1140</v>
      </c>
      <c r="I214" s="2" t="s">
        <v>1141</v>
      </c>
      <c r="J214" s="2" t="s">
        <v>1619</v>
      </c>
      <c r="K214" s="2"/>
      <c r="L214" s="2" t="s">
        <v>2047</v>
      </c>
    </row>
    <row r="215">
      <c r="A215" s="2" t="s">
        <v>980</v>
      </c>
      <c r="B215" s="2">
        <v>29</v>
      </c>
      <c r="C215" s="2" t="s">
        <v>82</v>
      </c>
      <c r="D215" s="2" t="s">
        <v>1142</v>
      </c>
      <c r="E215" s="2" t="s">
        <v>2048</v>
      </c>
      <c r="F215" s="2" t="s">
        <v>1145</v>
      </c>
      <c r="G215" s="2" t="s">
        <v>1662</v>
      </c>
      <c r="H215" s="2" t="s">
        <v>1146</v>
      </c>
      <c r="I215" s="2" t="s">
        <v>1147</v>
      </c>
      <c r="J215" s="2" t="s">
        <v>1597</v>
      </c>
      <c r="K215" s="2"/>
      <c r="L215" s="2" t="s">
        <v>2049</v>
      </c>
    </row>
    <row r="216">
      <c r="A216" s="2" t="s">
        <v>980</v>
      </c>
      <c r="B216" s="2">
        <v>30</v>
      </c>
      <c r="C216" s="2" t="s">
        <v>131</v>
      </c>
      <c r="D216" s="2" t="s">
        <v>1148</v>
      </c>
      <c r="E216" s="2" t="s">
        <v>2050</v>
      </c>
      <c r="F216" s="2" t="s">
        <v>1154</v>
      </c>
      <c r="G216" s="2" t="s">
        <v>1715</v>
      </c>
      <c r="H216" s="2" t="s">
        <v>1155</v>
      </c>
      <c r="I216" s="2" t="s">
        <v>1156</v>
      </c>
      <c r="J216" s="2" t="s">
        <v>1593</v>
      </c>
      <c r="K216" s="2"/>
      <c r="L216" s="2" t="s">
        <v>2051</v>
      </c>
    </row>
    <row r="217">
      <c r="A217" s="2" t="s">
        <v>980</v>
      </c>
      <c r="B217" s="2">
        <v>31</v>
      </c>
      <c r="C217" s="2" t="s">
        <v>117</v>
      </c>
      <c r="D217" s="2" t="s">
        <v>1157</v>
      </c>
      <c r="E217" s="2" t="s">
        <v>2052</v>
      </c>
      <c r="F217" s="2" t="s">
        <v>1161</v>
      </c>
      <c r="G217" s="2" t="s">
        <v>1596</v>
      </c>
      <c r="H217" s="2"/>
      <c r="I217" s="2" t="s">
        <v>1162</v>
      </c>
      <c r="J217" s="2" t="s">
        <v>1593</v>
      </c>
      <c r="K217" s="2"/>
      <c r="L217" s="2" t="s">
        <v>2053</v>
      </c>
    </row>
    <row r="218">
      <c r="A218" s="2" t="s">
        <v>980</v>
      </c>
      <c r="B218" s="2">
        <v>32</v>
      </c>
      <c r="C218" s="2" t="s">
        <v>56</v>
      </c>
      <c r="D218" s="2" t="s">
        <v>1163</v>
      </c>
      <c r="E218" s="2" t="s">
        <v>2054</v>
      </c>
      <c r="F218" s="2" t="s">
        <v>655</v>
      </c>
      <c r="G218" s="2" t="s">
        <v>1879</v>
      </c>
      <c r="H218" s="2" t="s">
        <v>1167</v>
      </c>
      <c r="I218" s="2" t="s">
        <v>1168</v>
      </c>
      <c r="J218" s="2" t="s">
        <v>1593</v>
      </c>
      <c r="K218" s="2"/>
      <c r="L218" s="2" t="s">
        <v>2055</v>
      </c>
    </row>
    <row r="219">
      <c r="A219" s="2" t="s">
        <v>980</v>
      </c>
      <c r="B219" s="2">
        <v>33</v>
      </c>
      <c r="C219" s="2" t="s">
        <v>117</v>
      </c>
      <c r="D219" s="2" t="s">
        <v>1169</v>
      </c>
      <c r="E219" s="2" t="s">
        <v>2056</v>
      </c>
      <c r="F219" s="2" t="s">
        <v>1172</v>
      </c>
      <c r="G219" s="2" t="s">
        <v>1652</v>
      </c>
      <c r="H219" s="2" t="s">
        <v>1173</v>
      </c>
      <c r="I219" s="2" t="s">
        <v>1174</v>
      </c>
      <c r="J219" s="2" t="s">
        <v>1593</v>
      </c>
      <c r="K219" s="2" t="s">
        <v>81</v>
      </c>
      <c r="L219" s="2" t="s">
        <v>2057</v>
      </c>
    </row>
    <row r="220">
      <c r="A220" s="2" t="s">
        <v>980</v>
      </c>
      <c r="B220" s="2">
        <v>34</v>
      </c>
      <c r="C220" s="2" t="s">
        <v>117</v>
      </c>
      <c r="D220" s="2" t="s">
        <v>1175</v>
      </c>
      <c r="E220" s="2" t="s">
        <v>2058</v>
      </c>
      <c r="F220" s="2" t="s">
        <v>1178</v>
      </c>
      <c r="G220" s="2" t="s">
        <v>1596</v>
      </c>
      <c r="H220" s="2" t="s">
        <v>1179</v>
      </c>
      <c r="I220" s="2" t="s">
        <v>1180</v>
      </c>
      <c r="J220" s="2" t="s">
        <v>1619</v>
      </c>
      <c r="K220" s="2"/>
      <c r="L220" s="2" t="s">
        <v>2059</v>
      </c>
    </row>
    <row r="221">
      <c r="A221" s="2" t="s">
        <v>980</v>
      </c>
      <c r="B221" s="2">
        <v>35</v>
      </c>
      <c r="C221" s="2" t="s">
        <v>131</v>
      </c>
      <c r="D221" s="2" t="s">
        <v>1181</v>
      </c>
      <c r="E221" s="2" t="s">
        <v>2060</v>
      </c>
      <c r="F221" s="2" t="s">
        <v>245</v>
      </c>
      <c r="G221" s="2" t="s">
        <v>1715</v>
      </c>
      <c r="H221" s="2" t="s">
        <v>1183</v>
      </c>
      <c r="I221" s="2" t="s">
        <v>1184</v>
      </c>
      <c r="J221" s="2" t="s">
        <v>1593</v>
      </c>
      <c r="K221" s="2"/>
      <c r="L221" s="2" t="s">
        <v>2061</v>
      </c>
    </row>
    <row r="222">
      <c r="A222" s="2" t="s">
        <v>980</v>
      </c>
      <c r="B222" s="2">
        <v>36</v>
      </c>
      <c r="C222" s="2" t="s">
        <v>41</v>
      </c>
      <c r="D222" s="2" t="s">
        <v>1185</v>
      </c>
      <c r="E222" s="2" t="s">
        <v>2062</v>
      </c>
      <c r="F222" s="2" t="s">
        <v>1187</v>
      </c>
      <c r="G222" s="2" t="s">
        <v>1596</v>
      </c>
      <c r="H222" s="2" t="s">
        <v>1188</v>
      </c>
      <c r="I222" s="2" t="s">
        <v>1189</v>
      </c>
      <c r="J222" s="2" t="s">
        <v>1597</v>
      </c>
      <c r="K222" s="2"/>
      <c r="L222" s="2" t="s">
        <v>2063</v>
      </c>
    </row>
    <row r="223">
      <c r="A223" s="2" t="s">
        <v>980</v>
      </c>
      <c r="B223" s="2">
        <v>37</v>
      </c>
      <c r="C223" s="2" t="s">
        <v>117</v>
      </c>
      <c r="D223" s="2" t="s">
        <v>1190</v>
      </c>
      <c r="E223" s="2" t="s">
        <v>2064</v>
      </c>
      <c r="F223" s="2" t="s">
        <v>1193</v>
      </c>
      <c r="G223" s="2" t="s">
        <v>1652</v>
      </c>
      <c r="H223" s="2" t="s">
        <v>1194</v>
      </c>
      <c r="I223" s="2" t="s">
        <v>1195</v>
      </c>
      <c r="J223" s="2" t="s">
        <v>1619</v>
      </c>
      <c r="K223" s="2" t="s">
        <v>563</v>
      </c>
      <c r="L223" s="2" t="s">
        <v>2065</v>
      </c>
    </row>
    <row r="224">
      <c r="A224" s="2" t="s">
        <v>980</v>
      </c>
      <c r="B224" s="2">
        <v>38</v>
      </c>
      <c r="C224" s="2" t="s">
        <v>239</v>
      </c>
      <c r="D224" s="2" t="s">
        <v>1196</v>
      </c>
      <c r="E224" s="2" t="s">
        <v>2066</v>
      </c>
      <c r="F224" s="2" t="s">
        <v>1099</v>
      </c>
      <c r="G224" s="2" t="s">
        <v>2067</v>
      </c>
      <c r="H224" s="2" t="s">
        <v>1197</v>
      </c>
      <c r="I224" s="2" t="s">
        <v>1198</v>
      </c>
      <c r="J224" s="2" t="s">
        <v>1593</v>
      </c>
      <c r="K224" s="2" t="s">
        <v>197</v>
      </c>
      <c r="L224" s="2" t="s">
        <v>2068</v>
      </c>
    </row>
    <row r="225">
      <c r="A225" s="2" t="s">
        <v>980</v>
      </c>
      <c r="B225" s="2">
        <v>39</v>
      </c>
      <c r="C225" s="2" t="s">
        <v>117</v>
      </c>
      <c r="D225" s="2" t="s">
        <v>1199</v>
      </c>
      <c r="E225" s="2" t="s">
        <v>2069</v>
      </c>
      <c r="F225" s="2" t="s">
        <v>1202</v>
      </c>
      <c r="G225" s="2" t="s">
        <v>1606</v>
      </c>
      <c r="H225" s="2" t="s">
        <v>1203</v>
      </c>
      <c r="I225" s="2" t="s">
        <v>1204</v>
      </c>
      <c r="J225" s="2" t="s">
        <v>1619</v>
      </c>
      <c r="K225" s="2"/>
      <c r="L225" s="2" t="s">
        <v>2070</v>
      </c>
    </row>
    <row r="226">
      <c r="A226" s="2" t="s">
        <v>980</v>
      </c>
      <c r="B226" s="2">
        <v>40</v>
      </c>
      <c r="C226" s="2" t="s">
        <v>192</v>
      </c>
      <c r="D226" s="2" t="s">
        <v>1205</v>
      </c>
      <c r="E226" s="2" t="s">
        <v>2071</v>
      </c>
      <c r="F226" s="2" t="s">
        <v>1206</v>
      </c>
      <c r="G226" s="2" t="s">
        <v>1600</v>
      </c>
      <c r="H226" s="2" t="s">
        <v>1207</v>
      </c>
      <c r="I226" s="2" t="s">
        <v>1208</v>
      </c>
      <c r="J226" s="2" t="s">
        <v>1619</v>
      </c>
      <c r="K226" s="2"/>
      <c r="L226" s="2" t="s">
        <v>2072</v>
      </c>
    </row>
    <row r="227">
      <c r="A227" s="2" t="s">
        <v>980</v>
      </c>
      <c r="B227" s="2">
        <v>41</v>
      </c>
      <c r="C227" s="2" t="s">
        <v>1209</v>
      </c>
      <c r="D227" s="2" t="s">
        <v>1210</v>
      </c>
      <c r="E227" s="2" t="s">
        <v>2073</v>
      </c>
      <c r="F227" s="2" t="s">
        <v>1211</v>
      </c>
      <c r="G227" s="2" t="s">
        <v>2074</v>
      </c>
      <c r="H227" s="2" t="s">
        <v>1212</v>
      </c>
      <c r="I227" s="2" t="s">
        <v>1213</v>
      </c>
      <c r="J227" s="2" t="s">
        <v>1593</v>
      </c>
      <c r="K227" s="2"/>
      <c r="L227" s="2" t="s">
        <v>2075</v>
      </c>
    </row>
    <row r="228">
      <c r="A228" s="2" t="s">
        <v>980</v>
      </c>
      <c r="B228" s="2">
        <v>42</v>
      </c>
      <c r="C228" s="2" t="s">
        <v>41</v>
      </c>
      <c r="D228" s="2" t="s">
        <v>1214</v>
      </c>
      <c r="E228" s="2" t="s">
        <v>2076</v>
      </c>
      <c r="F228" s="2" t="s">
        <v>1217</v>
      </c>
      <c r="G228" s="2" t="s">
        <v>1596</v>
      </c>
      <c r="H228" s="2" t="s">
        <v>1218</v>
      </c>
      <c r="I228" s="2" t="s">
        <v>1219</v>
      </c>
      <c r="J228" s="2" t="s">
        <v>1593</v>
      </c>
      <c r="K228" s="2" t="s">
        <v>81</v>
      </c>
      <c r="L228" s="2" t="s">
        <v>2077</v>
      </c>
    </row>
    <row r="229">
      <c r="A229" s="2" t="s">
        <v>980</v>
      </c>
      <c r="B229" s="2">
        <v>43</v>
      </c>
      <c r="C229" s="2" t="s">
        <v>117</v>
      </c>
      <c r="D229" s="2" t="s">
        <v>1220</v>
      </c>
      <c r="E229" s="2" t="s">
        <v>2078</v>
      </c>
      <c r="F229" s="2" t="s">
        <v>1223</v>
      </c>
      <c r="G229" s="2" t="s">
        <v>1596</v>
      </c>
      <c r="H229" s="2" t="s">
        <v>1224</v>
      </c>
      <c r="I229" s="2" t="s">
        <v>1225</v>
      </c>
      <c r="J229" s="2" t="s">
        <v>1619</v>
      </c>
      <c r="K229" s="2"/>
      <c r="L229" s="2" t="s">
        <v>2079</v>
      </c>
    </row>
    <row r="230">
      <c r="A230" s="2" t="s">
        <v>980</v>
      </c>
      <c r="B230" s="2">
        <v>44</v>
      </c>
      <c r="C230" s="2" t="s">
        <v>117</v>
      </c>
      <c r="D230" s="2" t="s">
        <v>1226</v>
      </c>
      <c r="E230" s="2" t="s">
        <v>2080</v>
      </c>
      <c r="F230" s="2" t="s">
        <v>1228</v>
      </c>
      <c r="G230" s="2" t="s">
        <v>1596</v>
      </c>
      <c r="H230" s="2" t="s">
        <v>1229</v>
      </c>
      <c r="I230" s="2" t="s">
        <v>1230</v>
      </c>
      <c r="J230" s="2" t="s">
        <v>1619</v>
      </c>
      <c r="K230" s="2"/>
      <c r="L230" s="2" t="s">
        <v>2081</v>
      </c>
    </row>
    <row r="231">
      <c r="A231" s="2" t="s">
        <v>980</v>
      </c>
      <c r="B231" s="2">
        <v>45</v>
      </c>
      <c r="C231" s="2" t="s">
        <v>82</v>
      </c>
      <c r="D231" s="2" t="s">
        <v>1231</v>
      </c>
      <c r="E231" s="2" t="s">
        <v>2082</v>
      </c>
      <c r="F231" s="2" t="s">
        <v>1234</v>
      </c>
      <c r="G231" s="2" t="s">
        <v>1596</v>
      </c>
      <c r="H231" s="2" t="s">
        <v>1235</v>
      </c>
      <c r="I231" s="2" t="s">
        <v>1236</v>
      </c>
      <c r="J231" s="2" t="s">
        <v>1619</v>
      </c>
      <c r="K231" s="2"/>
      <c r="L231" s="2" t="s">
        <v>2083</v>
      </c>
    </row>
    <row r="232">
      <c r="A232" s="2" t="s">
        <v>980</v>
      </c>
      <c r="B232" s="2">
        <v>46</v>
      </c>
      <c r="C232" s="2" t="s">
        <v>56</v>
      </c>
      <c r="D232" s="2" t="s">
        <v>1237</v>
      </c>
      <c r="E232" s="2" t="s">
        <v>2084</v>
      </c>
      <c r="F232" s="2" t="s">
        <v>1240</v>
      </c>
      <c r="G232" s="2" t="s">
        <v>1675</v>
      </c>
      <c r="H232" s="2" t="s">
        <v>1241</v>
      </c>
      <c r="I232" s="2" t="s">
        <v>1242</v>
      </c>
      <c r="J232" s="2" t="s">
        <v>1619</v>
      </c>
      <c r="K232" s="2"/>
      <c r="L232" s="2" t="s">
        <v>2085</v>
      </c>
    </row>
    <row r="233">
      <c r="A233" s="2" t="s">
        <v>980</v>
      </c>
      <c r="B233" s="2">
        <v>47</v>
      </c>
      <c r="C233" s="2" t="s">
        <v>56</v>
      </c>
      <c r="D233" s="2" t="s">
        <v>1243</v>
      </c>
      <c r="E233" s="2" t="s">
        <v>2086</v>
      </c>
      <c r="F233" s="2" t="s">
        <v>1245</v>
      </c>
      <c r="G233" s="2" t="s">
        <v>1634</v>
      </c>
      <c r="H233" s="2" t="s">
        <v>1246</v>
      </c>
      <c r="I233" s="2" t="s">
        <v>1247</v>
      </c>
      <c r="J233" s="2" t="s">
        <v>1619</v>
      </c>
      <c r="K233" s="2"/>
      <c r="L233" s="2" t="s">
        <v>2087</v>
      </c>
    </row>
    <row r="234">
      <c r="A234" s="2" t="s">
        <v>980</v>
      </c>
      <c r="B234" s="2">
        <v>48</v>
      </c>
      <c r="C234" s="2" t="s">
        <v>117</v>
      </c>
      <c r="D234" s="2" t="s">
        <v>1248</v>
      </c>
      <c r="E234" s="2" t="s">
        <v>2088</v>
      </c>
      <c r="F234" s="2" t="s">
        <v>1251</v>
      </c>
      <c r="G234" s="2" t="s">
        <v>1596</v>
      </c>
      <c r="H234" s="2" t="s">
        <v>1252</v>
      </c>
      <c r="I234" s="2" t="s">
        <v>1253</v>
      </c>
      <c r="J234" s="2" t="s">
        <v>1619</v>
      </c>
      <c r="K234" s="2"/>
      <c r="L234" s="2" t="s">
        <v>2089</v>
      </c>
    </row>
    <row r="235">
      <c r="A235" s="2" t="s">
        <v>980</v>
      </c>
      <c r="B235" s="2">
        <v>49</v>
      </c>
      <c r="C235" s="2" t="s">
        <v>476</v>
      </c>
      <c r="D235" s="2" t="s">
        <v>1254</v>
      </c>
      <c r="E235" s="2" t="s">
        <v>2090</v>
      </c>
      <c r="F235" s="2" t="s">
        <v>1255</v>
      </c>
      <c r="G235" s="2" t="s">
        <v>2091</v>
      </c>
      <c r="H235" s="2" t="s">
        <v>1256</v>
      </c>
      <c r="I235" s="2" t="s">
        <v>1257</v>
      </c>
      <c r="J235" s="2" t="s">
        <v>1593</v>
      </c>
      <c r="K235" s="2" t="s">
        <v>563</v>
      </c>
      <c r="L235" s="2" t="s">
        <v>2092</v>
      </c>
    </row>
    <row r="236">
      <c r="A236" s="2" t="s">
        <v>980</v>
      </c>
      <c r="B236" s="2">
        <v>50</v>
      </c>
      <c r="C236" s="2" t="s">
        <v>117</v>
      </c>
      <c r="D236" s="2" t="s">
        <v>1258</v>
      </c>
      <c r="E236" s="2" t="s">
        <v>2093</v>
      </c>
      <c r="F236" s="2" t="s">
        <v>1261</v>
      </c>
      <c r="G236" s="2" t="s">
        <v>1675</v>
      </c>
      <c r="H236" s="2" t="s">
        <v>1262</v>
      </c>
      <c r="I236" s="2" t="s">
        <v>1263</v>
      </c>
      <c r="J236" s="2" t="s">
        <v>1593</v>
      </c>
      <c r="K236" s="2" t="s">
        <v>191</v>
      </c>
      <c r="L236" s="2" t="s">
        <v>2094</v>
      </c>
    </row>
    <row r="237">
      <c r="A237" s="2" t="s">
        <v>980</v>
      </c>
      <c r="B237" s="2">
        <v>51</v>
      </c>
      <c r="C237" s="2" t="s">
        <v>239</v>
      </c>
      <c r="D237" s="2" t="s">
        <v>1264</v>
      </c>
      <c r="E237" s="2" t="s">
        <v>2095</v>
      </c>
      <c r="F237" s="2" t="s">
        <v>1110</v>
      </c>
      <c r="G237" s="2" t="s">
        <v>1652</v>
      </c>
      <c r="H237" s="2" t="s">
        <v>1266</v>
      </c>
      <c r="I237" s="2" t="s">
        <v>1267</v>
      </c>
      <c r="J237" s="2" t="s">
        <v>1593</v>
      </c>
      <c r="K237" s="2" t="s">
        <v>191</v>
      </c>
      <c r="L237" s="2" t="s">
        <v>2096</v>
      </c>
    </row>
    <row r="238">
      <c r="A238" s="2" t="s">
        <v>980</v>
      </c>
      <c r="B238" s="2">
        <v>52</v>
      </c>
      <c r="C238" s="2" t="s">
        <v>56</v>
      </c>
      <c r="D238" s="2" t="s">
        <v>1268</v>
      </c>
      <c r="E238" s="2" t="s">
        <v>2097</v>
      </c>
      <c r="F238" s="2" t="s">
        <v>1271</v>
      </c>
      <c r="G238" s="2" t="s">
        <v>1659</v>
      </c>
      <c r="H238" s="2" t="s">
        <v>1272</v>
      </c>
      <c r="I238" s="2" t="s">
        <v>1273</v>
      </c>
      <c r="J238" s="2" t="s">
        <v>1593</v>
      </c>
      <c r="K238" s="2" t="s">
        <v>81</v>
      </c>
      <c r="L238" s="2" t="s">
        <v>2098</v>
      </c>
    </row>
    <row r="239">
      <c r="A239" s="2" t="s">
        <v>980</v>
      </c>
      <c r="B239" s="2">
        <v>53</v>
      </c>
      <c r="C239" s="2" t="s">
        <v>41</v>
      </c>
      <c r="D239" s="2" t="s">
        <v>1274</v>
      </c>
      <c r="E239" s="2" t="s">
        <v>2076</v>
      </c>
      <c r="F239" s="2" t="s">
        <v>1276</v>
      </c>
      <c r="G239" s="2" t="s">
        <v>1596</v>
      </c>
      <c r="H239" s="2" t="s">
        <v>1277</v>
      </c>
      <c r="I239" s="2" t="s">
        <v>1278</v>
      </c>
      <c r="J239" s="2" t="s">
        <v>1593</v>
      </c>
      <c r="K239" s="2"/>
      <c r="L239" s="2" t="s">
        <v>2099</v>
      </c>
    </row>
    <row r="240">
      <c r="A240" s="2" t="s">
        <v>980</v>
      </c>
      <c r="B240" s="2">
        <v>54</v>
      </c>
      <c r="C240" s="2" t="s">
        <v>239</v>
      </c>
      <c r="D240" s="2" t="s">
        <v>1279</v>
      </c>
      <c r="E240" s="2" t="s">
        <v>2100</v>
      </c>
      <c r="F240" s="2" t="s">
        <v>1059</v>
      </c>
      <c r="G240" s="2" t="s">
        <v>1662</v>
      </c>
      <c r="H240" s="2" t="s">
        <v>1282</v>
      </c>
      <c r="I240" s="2" t="s">
        <v>1283</v>
      </c>
      <c r="J240" s="2" t="s">
        <v>1619</v>
      </c>
      <c r="K240" s="2"/>
      <c r="L240" s="2" t="s">
        <v>2101</v>
      </c>
    </row>
    <row r="241">
      <c r="A241" s="2" t="s">
        <v>980</v>
      </c>
      <c r="B241" s="2">
        <v>55</v>
      </c>
      <c r="C241" s="2" t="s">
        <v>131</v>
      </c>
      <c r="D241" s="2" t="s">
        <v>1284</v>
      </c>
      <c r="E241" s="2" t="s">
        <v>2102</v>
      </c>
      <c r="F241" s="2" t="s">
        <v>1245</v>
      </c>
      <c r="G241" s="2" t="s">
        <v>1644</v>
      </c>
      <c r="H241" s="2" t="s">
        <v>1286</v>
      </c>
      <c r="I241" s="2" t="s">
        <v>1287</v>
      </c>
      <c r="J241" s="2" t="s">
        <v>1619</v>
      </c>
      <c r="K241" s="2"/>
      <c r="L241" s="2" t="s">
        <v>2103</v>
      </c>
    </row>
    <row r="242">
      <c r="A242" s="2" t="s">
        <v>980</v>
      </c>
      <c r="B242" s="2">
        <v>56</v>
      </c>
      <c r="C242" s="2" t="s">
        <v>41</v>
      </c>
      <c r="D242" s="2" t="s">
        <v>1288</v>
      </c>
      <c r="E242" s="2" t="s">
        <v>2104</v>
      </c>
      <c r="F242" s="2" t="s">
        <v>1291</v>
      </c>
      <c r="G242" s="2" t="s">
        <v>1596</v>
      </c>
      <c r="H242" s="2" t="s">
        <v>1292</v>
      </c>
      <c r="I242" s="2" t="s">
        <v>1293</v>
      </c>
      <c r="J242" s="2" t="s">
        <v>1619</v>
      </c>
      <c r="K242" s="2"/>
      <c r="L242" s="2" t="s">
        <v>2105</v>
      </c>
    </row>
    <row r="243">
      <c r="A243" s="2" t="s">
        <v>980</v>
      </c>
      <c r="B243" s="2">
        <v>57</v>
      </c>
      <c r="C243" s="2" t="s">
        <v>56</v>
      </c>
      <c r="D243" s="2" t="s">
        <v>1294</v>
      </c>
      <c r="E243" s="2" t="s">
        <v>2106</v>
      </c>
      <c r="F243" s="2" t="s">
        <v>1297</v>
      </c>
      <c r="G243" s="2" t="s">
        <v>1616</v>
      </c>
      <c r="H243" s="2" t="s">
        <v>1298</v>
      </c>
      <c r="I243" s="2" t="s">
        <v>1299</v>
      </c>
      <c r="J243" s="2" t="s">
        <v>1593</v>
      </c>
      <c r="K243" s="2" t="s">
        <v>81</v>
      </c>
      <c r="L243" s="2" t="s">
        <v>2107</v>
      </c>
    </row>
    <row r="244">
      <c r="A244" s="2" t="s">
        <v>980</v>
      </c>
      <c r="B244" s="2">
        <v>58</v>
      </c>
      <c r="C244" s="2" t="s">
        <v>117</v>
      </c>
      <c r="D244" s="2" t="s">
        <v>1300</v>
      </c>
      <c r="E244" s="2" t="s">
        <v>2108</v>
      </c>
      <c r="F244" s="2" t="s">
        <v>1276</v>
      </c>
      <c r="G244" s="2" t="s">
        <v>1606</v>
      </c>
      <c r="H244" s="2" t="s">
        <v>1303</v>
      </c>
      <c r="I244" s="2" t="s">
        <v>1304</v>
      </c>
      <c r="J244" s="2" t="s">
        <v>1593</v>
      </c>
      <c r="K244" s="2"/>
      <c r="L244" s="2" t="s">
        <v>2109</v>
      </c>
    </row>
    <row r="245">
      <c r="A245" s="2" t="s">
        <v>980</v>
      </c>
      <c r="B245" s="2">
        <v>59</v>
      </c>
      <c r="C245" s="2" t="s">
        <v>117</v>
      </c>
      <c r="D245" s="2" t="s">
        <v>1305</v>
      </c>
      <c r="E245" s="2" t="s">
        <v>2110</v>
      </c>
      <c r="F245" s="2" t="s">
        <v>1276</v>
      </c>
      <c r="G245" s="2" t="s">
        <v>1667</v>
      </c>
      <c r="H245" s="2" t="s">
        <v>1307</v>
      </c>
      <c r="I245" s="2" t="s">
        <v>1308</v>
      </c>
      <c r="J245" s="2" t="s">
        <v>1593</v>
      </c>
      <c r="K245" s="2"/>
      <c r="L245" s="2" t="s">
        <v>2111</v>
      </c>
    </row>
    <row r="246">
      <c r="A246" s="2" t="s">
        <v>980</v>
      </c>
      <c r="B246" s="2">
        <v>60</v>
      </c>
      <c r="C246" s="2" t="s">
        <v>117</v>
      </c>
      <c r="D246" s="2" t="s">
        <v>1309</v>
      </c>
      <c r="E246" s="2" t="s">
        <v>2112</v>
      </c>
      <c r="F246" s="2" t="s">
        <v>1312</v>
      </c>
      <c r="G246" s="2" t="s">
        <v>1644</v>
      </c>
      <c r="H246" s="2" t="s">
        <v>1313</v>
      </c>
      <c r="I246" s="2" t="s">
        <v>1314</v>
      </c>
      <c r="J246" s="2" t="s">
        <v>1593</v>
      </c>
      <c r="K246" s="2" t="s">
        <v>81</v>
      </c>
      <c r="L246" s="2" t="s">
        <v>2113</v>
      </c>
    </row>
    <row r="247">
      <c r="A247" s="2" t="s">
        <v>980</v>
      </c>
      <c r="B247" s="2">
        <v>61</v>
      </c>
      <c r="C247" s="2" t="s">
        <v>41</v>
      </c>
      <c r="D247" s="2" t="s">
        <v>1315</v>
      </c>
      <c r="E247" s="2" t="s">
        <v>2114</v>
      </c>
      <c r="F247" s="2" t="s">
        <v>1318</v>
      </c>
      <c r="G247" s="2" t="s">
        <v>1596</v>
      </c>
      <c r="H247" s="2" t="s">
        <v>1319</v>
      </c>
      <c r="I247" s="2" t="s">
        <v>1320</v>
      </c>
      <c r="J247" s="2" t="s">
        <v>1619</v>
      </c>
      <c r="K247" s="2"/>
      <c r="L247" s="2" t="s">
        <v>2115</v>
      </c>
    </row>
    <row r="248">
      <c r="A248" s="2" t="s">
        <v>980</v>
      </c>
      <c r="B248" s="2">
        <v>62</v>
      </c>
      <c r="C248" s="2" t="s">
        <v>41</v>
      </c>
      <c r="D248" s="2" t="s">
        <v>1321</v>
      </c>
      <c r="E248" s="2" t="s">
        <v>2116</v>
      </c>
      <c r="F248" s="2" t="s">
        <v>1322</v>
      </c>
      <c r="G248" s="2" t="s">
        <v>1596</v>
      </c>
      <c r="H248" s="2" t="s">
        <v>1323</v>
      </c>
      <c r="I248" s="2" t="s">
        <v>1324</v>
      </c>
      <c r="J248" s="2" t="s">
        <v>1593</v>
      </c>
      <c r="K248" s="2" t="s">
        <v>145</v>
      </c>
      <c r="L248" s="2" t="s">
        <v>2117</v>
      </c>
    </row>
    <row r="249">
      <c r="A249" s="2" t="s">
        <v>980</v>
      </c>
      <c r="B249" s="2">
        <v>63</v>
      </c>
      <c r="C249" s="2" t="s">
        <v>56</v>
      </c>
      <c r="D249" s="2" t="s">
        <v>1325</v>
      </c>
      <c r="E249" s="2" t="s">
        <v>2118</v>
      </c>
      <c r="F249" s="2" t="s">
        <v>281</v>
      </c>
      <c r="G249" s="2" t="s">
        <v>2119</v>
      </c>
      <c r="H249" s="2" t="s">
        <v>1327</v>
      </c>
      <c r="I249" s="2" t="s">
        <v>1328</v>
      </c>
      <c r="J249" s="2" t="s">
        <v>1593</v>
      </c>
      <c r="K249" s="2"/>
      <c r="L249" s="2" t="s">
        <v>2120</v>
      </c>
    </row>
    <row r="250">
      <c r="A250" s="2" t="s">
        <v>980</v>
      </c>
      <c r="B250" s="2">
        <v>64</v>
      </c>
      <c r="C250" s="2" t="s">
        <v>239</v>
      </c>
      <c r="D250" s="2" t="s">
        <v>1329</v>
      </c>
      <c r="E250" s="2" t="s">
        <v>2121</v>
      </c>
      <c r="F250" s="2" t="s">
        <v>1330</v>
      </c>
      <c r="G250" s="2" t="s">
        <v>1644</v>
      </c>
      <c r="H250" s="2" t="s">
        <v>1331</v>
      </c>
      <c r="I250" s="2" t="s">
        <v>1332</v>
      </c>
      <c r="J250" s="2" t="s">
        <v>1619</v>
      </c>
      <c r="K250" s="2"/>
      <c r="L250" s="2" t="s">
        <v>2122</v>
      </c>
    </row>
    <row r="251">
      <c r="A251" s="2" t="s">
        <v>980</v>
      </c>
      <c r="B251" s="2">
        <v>65</v>
      </c>
      <c r="C251" s="2" t="s">
        <v>41</v>
      </c>
      <c r="D251" s="2" t="s">
        <v>1333</v>
      </c>
      <c r="E251" s="2" t="s">
        <v>2123</v>
      </c>
      <c r="F251" s="2" t="s">
        <v>1335</v>
      </c>
      <c r="G251" s="2" t="s">
        <v>1596</v>
      </c>
      <c r="H251" s="2" t="s">
        <v>1336</v>
      </c>
      <c r="I251" s="2" t="s">
        <v>1337</v>
      </c>
      <c r="J251" s="2" t="s">
        <v>1593</v>
      </c>
      <c r="K251" s="2"/>
      <c r="L251" s="2" t="s">
        <v>2124</v>
      </c>
    </row>
    <row r="252">
      <c r="A252" s="2" t="s">
        <v>980</v>
      </c>
      <c r="B252" s="2">
        <v>66</v>
      </c>
      <c r="C252" s="2" t="s">
        <v>117</v>
      </c>
      <c r="D252" s="2" t="s">
        <v>1338</v>
      </c>
      <c r="E252" s="2" t="s">
        <v>2125</v>
      </c>
      <c r="F252" s="2" t="s">
        <v>1341</v>
      </c>
      <c r="G252" s="2" t="s">
        <v>1596</v>
      </c>
      <c r="H252" s="2"/>
      <c r="I252" s="2" t="s">
        <v>1342</v>
      </c>
      <c r="J252" s="2" t="s">
        <v>1619</v>
      </c>
      <c r="K252" s="2"/>
      <c r="L252" s="2" t="s">
        <v>2126</v>
      </c>
    </row>
    <row r="253">
      <c r="A253" s="2" t="s">
        <v>980</v>
      </c>
      <c r="B253" s="2">
        <v>67</v>
      </c>
      <c r="C253" s="2" t="s">
        <v>41</v>
      </c>
      <c r="D253" s="2" t="s">
        <v>1343</v>
      </c>
      <c r="E253" s="2" t="s">
        <v>2127</v>
      </c>
      <c r="F253" s="2" t="s">
        <v>1110</v>
      </c>
      <c r="G253" s="2" t="s">
        <v>1596</v>
      </c>
      <c r="H253" s="2" t="s">
        <v>1345</v>
      </c>
      <c r="I253" s="2" t="s">
        <v>1346</v>
      </c>
      <c r="J253" s="2" t="s">
        <v>1593</v>
      </c>
      <c r="K253" s="2" t="s">
        <v>197</v>
      </c>
      <c r="L253" s="2" t="s">
        <v>2128</v>
      </c>
    </row>
    <row r="254">
      <c r="A254" s="2" t="s">
        <v>980</v>
      </c>
      <c r="B254" s="2">
        <v>68</v>
      </c>
      <c r="C254" s="2" t="s">
        <v>41</v>
      </c>
      <c r="D254" s="2" t="s">
        <v>1347</v>
      </c>
      <c r="E254" s="2" t="s">
        <v>2129</v>
      </c>
      <c r="F254" s="2" t="s">
        <v>1059</v>
      </c>
      <c r="G254" s="2" t="s">
        <v>1596</v>
      </c>
      <c r="H254" s="2" t="s">
        <v>1350</v>
      </c>
      <c r="I254" s="2" t="s">
        <v>1351</v>
      </c>
      <c r="J254" s="2" t="s">
        <v>1619</v>
      </c>
      <c r="K254" s="2"/>
      <c r="L254" s="2" t="s">
        <v>2130</v>
      </c>
    </row>
    <row r="255">
      <c r="A255" s="2" t="s">
        <v>980</v>
      </c>
      <c r="B255" s="2">
        <v>69</v>
      </c>
      <c r="C255" s="2" t="s">
        <v>117</v>
      </c>
      <c r="D255" s="2" t="s">
        <v>1352</v>
      </c>
      <c r="E255" s="2" t="s">
        <v>2131</v>
      </c>
      <c r="F255" s="2" t="s">
        <v>1355</v>
      </c>
      <c r="G255" s="2" t="s">
        <v>1596</v>
      </c>
      <c r="H255" s="2" t="s">
        <v>1356</v>
      </c>
      <c r="I255" s="2" t="s">
        <v>1357</v>
      </c>
      <c r="J255" s="2" t="s">
        <v>1619</v>
      </c>
      <c r="K255" s="2"/>
      <c r="L255" s="2" t="s">
        <v>2132</v>
      </c>
    </row>
    <row r="256">
      <c r="A256" s="2" t="s">
        <v>980</v>
      </c>
      <c r="B256" s="2">
        <v>70</v>
      </c>
      <c r="C256" s="2" t="s">
        <v>41</v>
      </c>
      <c r="D256" s="2" t="s">
        <v>1358</v>
      </c>
      <c r="E256" s="2" t="s">
        <v>2133</v>
      </c>
      <c r="F256" s="2" t="s">
        <v>1361</v>
      </c>
      <c r="G256" s="2" t="s">
        <v>1596</v>
      </c>
      <c r="H256" s="2" t="s">
        <v>1362</v>
      </c>
      <c r="I256" s="2" t="s">
        <v>1363</v>
      </c>
      <c r="J256" s="2" t="s">
        <v>1619</v>
      </c>
      <c r="K256" s="2"/>
      <c r="L256" s="2" t="s">
        <v>2134</v>
      </c>
    </row>
    <row r="257">
      <c r="A257" s="2" t="s">
        <v>980</v>
      </c>
      <c r="B257" s="2">
        <v>71</v>
      </c>
      <c r="C257" s="2" t="s">
        <v>41</v>
      </c>
      <c r="D257" s="2" t="s">
        <v>1364</v>
      </c>
      <c r="E257" s="2" t="s">
        <v>2135</v>
      </c>
      <c r="F257" s="2" t="s">
        <v>1367</v>
      </c>
      <c r="G257" s="2" t="s">
        <v>1596</v>
      </c>
      <c r="H257" s="2" t="s">
        <v>1368</v>
      </c>
      <c r="I257" s="2" t="s">
        <v>1369</v>
      </c>
      <c r="J257" s="2" t="s">
        <v>1619</v>
      </c>
      <c r="K257" s="2"/>
      <c r="L257" s="2" t="s">
        <v>2136</v>
      </c>
    </row>
    <row r="258">
      <c r="A258" s="2" t="s">
        <v>980</v>
      </c>
      <c r="B258" s="2">
        <v>72</v>
      </c>
      <c r="C258" s="2" t="s">
        <v>117</v>
      </c>
      <c r="D258" s="2" t="s">
        <v>1370</v>
      </c>
      <c r="E258" s="2" t="s">
        <v>2137</v>
      </c>
      <c r="F258" s="2" t="s">
        <v>1372</v>
      </c>
      <c r="G258" s="2" t="s">
        <v>1596</v>
      </c>
      <c r="H258" s="2" t="s">
        <v>1373</v>
      </c>
      <c r="I258" s="2" t="s">
        <v>1374</v>
      </c>
      <c r="J258" s="2" t="s">
        <v>1593</v>
      </c>
      <c r="K258" s="2"/>
      <c r="L258" s="2" t="s">
        <v>2138</v>
      </c>
    </row>
    <row r="259">
      <c r="A259" s="2" t="s">
        <v>980</v>
      </c>
      <c r="B259" s="2">
        <v>73</v>
      </c>
      <c r="C259" s="2" t="s">
        <v>56</v>
      </c>
      <c r="D259" s="2" t="s">
        <v>1375</v>
      </c>
      <c r="E259" s="2" t="s">
        <v>2139</v>
      </c>
      <c r="F259" s="2" t="s">
        <v>1377</v>
      </c>
      <c r="G259" s="2" t="s">
        <v>2140</v>
      </c>
      <c r="H259" s="2" t="s">
        <v>1378</v>
      </c>
      <c r="I259" s="2" t="s">
        <v>1379</v>
      </c>
      <c r="J259" s="2" t="s">
        <v>1593</v>
      </c>
      <c r="K259" s="2" t="s">
        <v>81</v>
      </c>
      <c r="L259" s="2" t="s">
        <v>2141</v>
      </c>
    </row>
    <row r="260">
      <c r="A260" s="2" t="s">
        <v>980</v>
      </c>
      <c r="B260" s="2">
        <v>74</v>
      </c>
      <c r="C260" s="2" t="s">
        <v>192</v>
      </c>
      <c r="D260" s="2" t="s">
        <v>1380</v>
      </c>
      <c r="E260" s="2" t="s">
        <v>2142</v>
      </c>
      <c r="F260" s="2" t="s">
        <v>1381</v>
      </c>
      <c r="G260" s="2" t="s">
        <v>1723</v>
      </c>
      <c r="H260" s="2" t="s">
        <v>1382</v>
      </c>
      <c r="I260" s="2" t="s">
        <v>1383</v>
      </c>
      <c r="J260" s="2" t="s">
        <v>1619</v>
      </c>
      <c r="K260" s="2" t="s">
        <v>563</v>
      </c>
      <c r="L260" s="2" t="s">
        <v>2143</v>
      </c>
    </row>
    <row r="261">
      <c r="A261" s="2" t="s">
        <v>980</v>
      </c>
      <c r="B261" s="2">
        <v>75</v>
      </c>
      <c r="C261" s="2" t="s">
        <v>41</v>
      </c>
      <c r="D261" s="2" t="s">
        <v>1384</v>
      </c>
      <c r="E261" s="2" t="s">
        <v>2144</v>
      </c>
      <c r="F261" s="2" t="s">
        <v>1388</v>
      </c>
      <c r="G261" s="2" t="s">
        <v>1606</v>
      </c>
      <c r="H261" s="2" t="s">
        <v>1389</v>
      </c>
      <c r="I261" s="2" t="s">
        <v>1390</v>
      </c>
      <c r="J261" s="2" t="s">
        <v>1593</v>
      </c>
      <c r="K261" s="2"/>
      <c r="L261" s="2" t="s">
        <v>2145</v>
      </c>
    </row>
    <row r="262">
      <c r="A262" s="2" t="s">
        <v>980</v>
      </c>
      <c r="B262" s="2">
        <v>76</v>
      </c>
      <c r="C262" s="2" t="s">
        <v>239</v>
      </c>
      <c r="D262" s="2" t="s">
        <v>1391</v>
      </c>
      <c r="E262" s="2" t="s">
        <v>2146</v>
      </c>
      <c r="F262" s="2" t="s">
        <v>1394</v>
      </c>
      <c r="G262" s="2" t="s">
        <v>1723</v>
      </c>
      <c r="H262" s="2" t="s">
        <v>1395</v>
      </c>
      <c r="I262" s="2" t="s">
        <v>1396</v>
      </c>
      <c r="J262" s="2" t="s">
        <v>1619</v>
      </c>
      <c r="K262" s="2"/>
      <c r="L262" s="2" t="s">
        <v>2147</v>
      </c>
    </row>
    <row r="263">
      <c r="A263" s="2" t="s">
        <v>980</v>
      </c>
      <c r="B263" s="2">
        <v>77</v>
      </c>
      <c r="C263" s="2" t="s">
        <v>82</v>
      </c>
      <c r="D263" s="2" t="s">
        <v>1397</v>
      </c>
      <c r="E263" s="2" t="s">
        <v>2148</v>
      </c>
      <c r="F263" s="2" t="s">
        <v>1402</v>
      </c>
      <c r="G263" s="2" t="s">
        <v>1644</v>
      </c>
      <c r="H263" s="2" t="s">
        <v>1403</v>
      </c>
      <c r="I263" s="2" t="s">
        <v>1404</v>
      </c>
      <c r="J263" s="2" t="s">
        <v>1619</v>
      </c>
      <c r="K263" s="2"/>
      <c r="L263" s="2" t="s">
        <v>2149</v>
      </c>
    </row>
    <row r="264">
      <c r="A264" s="2" t="s">
        <v>980</v>
      </c>
      <c r="B264" s="2">
        <v>78</v>
      </c>
      <c r="C264" s="2" t="s">
        <v>82</v>
      </c>
      <c r="D264" s="2" t="s">
        <v>1405</v>
      </c>
      <c r="E264" s="2" t="s">
        <v>2150</v>
      </c>
      <c r="F264" s="2" t="s">
        <v>1408</v>
      </c>
      <c r="G264" s="2" t="s">
        <v>1606</v>
      </c>
      <c r="H264" s="2" t="s">
        <v>1409</v>
      </c>
      <c r="I264" s="2" t="s">
        <v>1410</v>
      </c>
      <c r="J264" s="2" t="s">
        <v>1619</v>
      </c>
      <c r="K264" s="2"/>
      <c r="L264" s="2" t="s">
        <v>2151</v>
      </c>
    </row>
    <row r="265">
      <c r="A265" s="2" t="s">
        <v>980</v>
      </c>
      <c r="B265" s="2">
        <v>79</v>
      </c>
      <c r="C265" s="2" t="s">
        <v>110</v>
      </c>
      <c r="D265" s="2" t="s">
        <v>1411</v>
      </c>
      <c r="E265" s="2" t="s">
        <v>2152</v>
      </c>
      <c r="F265" s="2" t="s">
        <v>1414</v>
      </c>
      <c r="G265" s="2" t="s">
        <v>1625</v>
      </c>
      <c r="H265" s="2" t="s">
        <v>1415</v>
      </c>
      <c r="I265" s="2" t="s">
        <v>1416</v>
      </c>
      <c r="J265" s="2" t="s">
        <v>1593</v>
      </c>
      <c r="K265" s="2" t="s">
        <v>81</v>
      </c>
      <c r="L265" s="2" t="s">
        <v>2153</v>
      </c>
    </row>
    <row r="266">
      <c r="A266" s="2" t="s">
        <v>980</v>
      </c>
      <c r="B266" s="2">
        <v>80</v>
      </c>
      <c r="C266" s="2" t="s">
        <v>117</v>
      </c>
      <c r="D266" s="2" t="s">
        <v>1417</v>
      </c>
      <c r="E266" s="2" t="s">
        <v>2154</v>
      </c>
      <c r="F266" s="2" t="s">
        <v>1271</v>
      </c>
      <c r="G266" s="2" t="s">
        <v>1715</v>
      </c>
      <c r="H266" s="2" t="s">
        <v>1419</v>
      </c>
      <c r="I266" s="2" t="s">
        <v>1420</v>
      </c>
      <c r="J266" s="2" t="s">
        <v>1593</v>
      </c>
      <c r="K266" s="2" t="s">
        <v>81</v>
      </c>
      <c r="L266" s="2" t="s">
        <v>2155</v>
      </c>
    </row>
    <row r="267">
      <c r="A267" s="2" t="s">
        <v>980</v>
      </c>
      <c r="B267" s="2">
        <v>81</v>
      </c>
      <c r="C267" s="2" t="s">
        <v>117</v>
      </c>
      <c r="D267" s="2" t="s">
        <v>1421</v>
      </c>
      <c r="E267" s="2" t="s">
        <v>2156</v>
      </c>
      <c r="F267" s="2" t="s">
        <v>78</v>
      </c>
      <c r="G267" s="2" t="s">
        <v>1634</v>
      </c>
      <c r="H267" s="2" t="s">
        <v>1424</v>
      </c>
      <c r="I267" s="2" t="s">
        <v>1425</v>
      </c>
      <c r="J267" s="2" t="s">
        <v>1593</v>
      </c>
      <c r="K267" s="2" t="s">
        <v>81</v>
      </c>
      <c r="L267" s="2" t="s">
        <v>2157</v>
      </c>
    </row>
    <row r="268">
      <c r="A268" s="2" t="s">
        <v>980</v>
      </c>
      <c r="B268" s="2">
        <v>82</v>
      </c>
      <c r="C268" s="2" t="s">
        <v>131</v>
      </c>
      <c r="D268" s="2" t="s">
        <v>1426</v>
      </c>
      <c r="E268" s="2" t="s">
        <v>2158</v>
      </c>
      <c r="F268" s="2" t="s">
        <v>1427</v>
      </c>
      <c r="G268" s="2" t="s">
        <v>1652</v>
      </c>
      <c r="H268" s="2" t="s">
        <v>1428</v>
      </c>
      <c r="I268" s="2" t="s">
        <v>1429</v>
      </c>
      <c r="J268" s="2" t="s">
        <v>1597</v>
      </c>
      <c r="K268" s="2" t="s">
        <v>563</v>
      </c>
      <c r="L268" s="2" t="s">
        <v>2159</v>
      </c>
    </row>
    <row r="269">
      <c r="A269" s="2" t="s">
        <v>980</v>
      </c>
      <c r="B269" s="2">
        <v>83</v>
      </c>
      <c r="C269" s="2" t="s">
        <v>192</v>
      </c>
      <c r="D269" s="2" t="s">
        <v>1430</v>
      </c>
      <c r="E269" s="2" t="s">
        <v>2160</v>
      </c>
      <c r="F269" s="2" t="s">
        <v>1078</v>
      </c>
      <c r="G269" s="2" t="s">
        <v>2161</v>
      </c>
      <c r="H269" s="2" t="s">
        <v>1433</v>
      </c>
      <c r="I269" s="2" t="s">
        <v>1434</v>
      </c>
      <c r="J269" s="2" t="s">
        <v>1593</v>
      </c>
      <c r="K269" s="2" t="s">
        <v>145</v>
      </c>
      <c r="L269" s="2" t="s">
        <v>2162</v>
      </c>
    </row>
    <row r="270">
      <c r="A270" s="2" t="s">
        <v>980</v>
      </c>
      <c r="B270" s="2">
        <v>84</v>
      </c>
      <c r="C270" s="2" t="s">
        <v>117</v>
      </c>
      <c r="D270" s="2" t="s">
        <v>1435</v>
      </c>
      <c r="E270" s="2" t="s">
        <v>2163</v>
      </c>
      <c r="F270" s="2" t="s">
        <v>281</v>
      </c>
      <c r="G270" s="2" t="s">
        <v>1644</v>
      </c>
      <c r="H270" s="2" t="s">
        <v>1438</v>
      </c>
      <c r="I270" s="2" t="s">
        <v>1439</v>
      </c>
      <c r="J270" s="2" t="s">
        <v>1593</v>
      </c>
      <c r="K270" s="2"/>
      <c r="L270" s="2" t="s">
        <v>2164</v>
      </c>
    </row>
    <row r="271">
      <c r="A271" s="2" t="s">
        <v>980</v>
      </c>
      <c r="B271" s="2">
        <v>85</v>
      </c>
      <c r="C271" s="2" t="s">
        <v>56</v>
      </c>
      <c r="D271" s="2" t="s">
        <v>1440</v>
      </c>
      <c r="E271" s="2" t="s">
        <v>2165</v>
      </c>
      <c r="F271" s="2" t="s">
        <v>1442</v>
      </c>
      <c r="G271" s="2" t="s">
        <v>1596</v>
      </c>
      <c r="H271" s="2" t="s">
        <v>1443</v>
      </c>
      <c r="I271" s="2" t="s">
        <v>1444</v>
      </c>
      <c r="J271" s="2" t="s">
        <v>1597</v>
      </c>
      <c r="K271" s="2"/>
      <c r="L271" s="2" t="s">
        <v>2166</v>
      </c>
    </row>
    <row r="272">
      <c r="A272" s="2" t="s">
        <v>980</v>
      </c>
      <c r="B272" s="2">
        <v>86</v>
      </c>
      <c r="C272" s="2" t="s">
        <v>646</v>
      </c>
      <c r="D272" s="2" t="s">
        <v>1445</v>
      </c>
      <c r="E272" s="2" t="s">
        <v>2167</v>
      </c>
      <c r="F272" s="2" t="s">
        <v>1099</v>
      </c>
      <c r="G272" s="2" t="s">
        <v>2168</v>
      </c>
      <c r="H272" s="2" t="s">
        <v>1448</v>
      </c>
      <c r="I272" s="2" t="s">
        <v>1449</v>
      </c>
      <c r="J272" s="2" t="s">
        <v>1593</v>
      </c>
      <c r="K272" s="2"/>
      <c r="L272" s="2" t="s">
        <v>2169</v>
      </c>
    </row>
    <row r="273">
      <c r="A273" s="2" t="s">
        <v>980</v>
      </c>
      <c r="B273" s="2">
        <v>87</v>
      </c>
      <c r="C273" s="2" t="s">
        <v>41</v>
      </c>
      <c r="D273" s="2" t="s">
        <v>1450</v>
      </c>
      <c r="E273" s="2" t="s">
        <v>2170</v>
      </c>
      <c r="F273" s="2" t="s">
        <v>1454</v>
      </c>
      <c r="G273" s="2" t="s">
        <v>1596</v>
      </c>
      <c r="H273" s="2" t="s">
        <v>1455</v>
      </c>
      <c r="I273" s="2" t="s">
        <v>1456</v>
      </c>
      <c r="J273" s="2" t="s">
        <v>1593</v>
      </c>
      <c r="K273" s="2" t="s">
        <v>145</v>
      </c>
      <c r="L273" s="2" t="s">
        <v>2171</v>
      </c>
    </row>
    <row r="274">
      <c r="A274" s="2" t="s">
        <v>980</v>
      </c>
      <c r="B274" s="2">
        <v>88</v>
      </c>
      <c r="C274" s="2" t="s">
        <v>117</v>
      </c>
      <c r="D274" s="2" t="s">
        <v>1457</v>
      </c>
      <c r="E274" s="2" t="s">
        <v>2172</v>
      </c>
      <c r="F274" s="2" t="s">
        <v>78</v>
      </c>
      <c r="G274" s="2" t="s">
        <v>1733</v>
      </c>
      <c r="H274" s="2" t="s">
        <v>1459</v>
      </c>
      <c r="I274" s="2" t="s">
        <v>1460</v>
      </c>
      <c r="J274" s="2" t="s">
        <v>1593</v>
      </c>
      <c r="K274" s="2" t="s">
        <v>81</v>
      </c>
      <c r="L274" s="2" t="s">
        <v>2173</v>
      </c>
    </row>
    <row r="275">
      <c r="A275" s="2" t="s">
        <v>980</v>
      </c>
      <c r="B275" s="2">
        <v>89</v>
      </c>
      <c r="C275" s="2" t="s">
        <v>82</v>
      </c>
      <c r="D275" s="2" t="s">
        <v>1461</v>
      </c>
      <c r="E275" s="2" t="s">
        <v>2174</v>
      </c>
      <c r="F275" s="2" t="s">
        <v>1110</v>
      </c>
      <c r="G275" s="2" t="s">
        <v>1609</v>
      </c>
      <c r="H275" s="2" t="s">
        <v>1464</v>
      </c>
      <c r="I275" s="2" t="s">
        <v>1465</v>
      </c>
      <c r="J275" s="2" t="s">
        <v>1593</v>
      </c>
      <c r="K275" s="2" t="s">
        <v>191</v>
      </c>
      <c r="L275" s="2" t="s">
        <v>2175</v>
      </c>
    </row>
    <row r="276">
      <c r="A276" s="2" t="s">
        <v>980</v>
      </c>
      <c r="B276" s="2">
        <v>90</v>
      </c>
      <c r="C276" s="2" t="s">
        <v>131</v>
      </c>
      <c r="D276" s="2" t="s">
        <v>1466</v>
      </c>
      <c r="E276" s="2" t="s">
        <v>2176</v>
      </c>
      <c r="F276" s="2" t="s">
        <v>1468</v>
      </c>
      <c r="G276" s="2" t="s">
        <v>1606</v>
      </c>
      <c r="H276" s="2" t="s">
        <v>1469</v>
      </c>
      <c r="I276" s="2" t="s">
        <v>1470</v>
      </c>
      <c r="J276" s="2" t="s">
        <v>1593</v>
      </c>
      <c r="K276" s="2" t="s">
        <v>145</v>
      </c>
      <c r="L276" s="2" t="s">
        <v>2177</v>
      </c>
    </row>
    <row r="277">
      <c r="A277" s="2" t="s">
        <v>980</v>
      </c>
      <c r="B277" s="2">
        <v>91</v>
      </c>
      <c r="C277" s="2" t="s">
        <v>1471</v>
      </c>
      <c r="D277" s="2" t="s">
        <v>1472</v>
      </c>
      <c r="E277" s="2" t="s">
        <v>2178</v>
      </c>
      <c r="F277" s="2" t="s">
        <v>1473</v>
      </c>
      <c r="G277" s="2" t="s">
        <v>2179</v>
      </c>
      <c r="H277" s="2" t="s">
        <v>1474</v>
      </c>
      <c r="I277" s="2" t="s">
        <v>1475</v>
      </c>
      <c r="J277" s="2" t="s">
        <v>1593</v>
      </c>
      <c r="K277" s="2"/>
      <c r="L277" s="2" t="s">
        <v>2180</v>
      </c>
    </row>
    <row r="278">
      <c r="A278" s="2" t="s">
        <v>980</v>
      </c>
      <c r="B278" s="2">
        <v>92</v>
      </c>
      <c r="C278" s="2" t="s">
        <v>82</v>
      </c>
      <c r="D278" s="2" t="s">
        <v>1476</v>
      </c>
      <c r="E278" s="2" t="s">
        <v>2181</v>
      </c>
      <c r="F278" s="2" t="s">
        <v>1059</v>
      </c>
      <c r="G278" s="2" t="s">
        <v>1596</v>
      </c>
      <c r="H278" s="2" t="s">
        <v>1478</v>
      </c>
      <c r="I278" s="2" t="s">
        <v>1479</v>
      </c>
      <c r="J278" s="2" t="s">
        <v>1619</v>
      </c>
      <c r="K278" s="2"/>
      <c r="L278" s="2" t="s">
        <v>2182</v>
      </c>
    </row>
    <row r="279">
      <c r="A279" s="2" t="s">
        <v>980</v>
      </c>
      <c r="B279" s="2">
        <v>93</v>
      </c>
      <c r="C279" s="2" t="s">
        <v>82</v>
      </c>
      <c r="D279" s="2" t="s">
        <v>1480</v>
      </c>
      <c r="E279" s="2" t="s">
        <v>2183</v>
      </c>
      <c r="F279" s="2" t="s">
        <v>78</v>
      </c>
      <c r="G279" s="2" t="s">
        <v>1707</v>
      </c>
      <c r="H279" s="2" t="s">
        <v>1482</v>
      </c>
      <c r="I279" s="2" t="s">
        <v>1483</v>
      </c>
      <c r="J279" s="2" t="s">
        <v>1593</v>
      </c>
      <c r="K279" s="2" t="s">
        <v>81</v>
      </c>
      <c r="L279" s="2" t="s">
        <v>2184</v>
      </c>
    </row>
    <row r="280">
      <c r="A280" s="2" t="s">
        <v>980</v>
      </c>
      <c r="B280" s="2">
        <v>94</v>
      </c>
      <c r="C280" s="2" t="s">
        <v>82</v>
      </c>
      <c r="D280" s="2" t="s">
        <v>1484</v>
      </c>
      <c r="E280" s="2" t="s">
        <v>2185</v>
      </c>
      <c r="F280" s="2" t="s">
        <v>1488</v>
      </c>
      <c r="G280" s="2" t="s">
        <v>1644</v>
      </c>
      <c r="H280" s="2" t="s">
        <v>1489</v>
      </c>
      <c r="I280" s="2" t="s">
        <v>1490</v>
      </c>
      <c r="J280" s="2" t="s">
        <v>1619</v>
      </c>
      <c r="K280" s="2"/>
      <c r="L280" s="2" t="s">
        <v>2186</v>
      </c>
    </row>
    <row r="281">
      <c r="A281" s="2" t="s">
        <v>980</v>
      </c>
      <c r="B281" s="2">
        <v>95</v>
      </c>
      <c r="C281" s="2" t="s">
        <v>82</v>
      </c>
      <c r="D281" s="2" t="s">
        <v>1491</v>
      </c>
      <c r="E281" s="2" t="s">
        <v>2187</v>
      </c>
      <c r="F281" s="2" t="s">
        <v>1494</v>
      </c>
      <c r="G281" s="2" t="s">
        <v>1742</v>
      </c>
      <c r="H281" s="2" t="s">
        <v>1495</v>
      </c>
      <c r="I281" s="2" t="s">
        <v>1496</v>
      </c>
      <c r="J281" s="2" t="s">
        <v>1593</v>
      </c>
      <c r="K281" s="2"/>
      <c r="L281" s="2" t="s">
        <v>2188</v>
      </c>
    </row>
    <row r="282">
      <c r="A282" s="2" t="s">
        <v>980</v>
      </c>
      <c r="B282" s="2">
        <v>96</v>
      </c>
      <c r="C282" s="2" t="s">
        <v>82</v>
      </c>
      <c r="D282" s="2" t="s">
        <v>1497</v>
      </c>
      <c r="E282" s="2" t="s">
        <v>2189</v>
      </c>
      <c r="F282" s="2" t="s">
        <v>1276</v>
      </c>
      <c r="G282" s="2" t="s">
        <v>1807</v>
      </c>
      <c r="H282" s="2" t="s">
        <v>1499</v>
      </c>
      <c r="I282" s="2" t="s">
        <v>1500</v>
      </c>
      <c r="J282" s="2" t="s">
        <v>1593</v>
      </c>
      <c r="K282" s="2"/>
      <c r="L282" s="2" t="s">
        <v>2190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5"/>
    <col customWidth="1" min="2" max="2" width="31"/>
    <col customWidth="1" min="3" max="3" width="8"/>
    <col customWidth="1" min="4" max="4" width="55"/>
    <col customWidth="1" min="5" max="5" width="36"/>
    <col customWidth="1" min="6" max="6" width="30"/>
    <col customWidth="1" min="7" max="7" width="10"/>
    <col customWidth="1" min="8" max="8" width="32"/>
    <col customWidth="1" min="9" max="9" width="36"/>
    <col customWidth="1" min="10" max="10" width="48"/>
    <col customWidth="1" min="11" max="11" width="50"/>
    <col customWidth="1" min="12" max="13" width="18"/>
    <col customWidth="1" min="14" max="14" width="90"/>
  </cols>
  <sheetData>
    <row r="1">
      <c r="A1" s="1" t="s">
        <v>0</v>
      </c>
      <c r="B1" s="1" t="s">
        <v>3</v>
      </c>
      <c r="C1" s="1" t="s">
        <v>1</v>
      </c>
      <c r="D1" s="1" t="s">
        <v>2</v>
      </c>
      <c r="E1" s="1" t="s">
        <v>1586</v>
      </c>
      <c r="F1" s="1" t="s">
        <v>18</v>
      </c>
      <c r="G1" s="1" t="s">
        <v>1587</v>
      </c>
      <c r="H1" s="1" t="s">
        <v>19</v>
      </c>
      <c r="I1" s="1" t="s">
        <v>20</v>
      </c>
      <c r="J1" s="1" t="s">
        <v>2191</v>
      </c>
      <c r="K1" s="1" t="s">
        <v>2192</v>
      </c>
      <c r="L1" s="1" t="s">
        <v>1588</v>
      </c>
      <c r="M1" s="1" t="s">
        <v>1589</v>
      </c>
      <c r="N1" s="1" t="s">
        <v>1590</v>
      </c>
    </row>
    <row r="2">
      <c r="A2" s="2">
        <v>1</v>
      </c>
      <c r="B2" s="2" t="s">
        <v>24</v>
      </c>
      <c r="C2" s="2" t="s">
        <v>22</v>
      </c>
      <c r="D2" s="2" t="s">
        <v>23</v>
      </c>
      <c r="E2" s="2" t="s">
        <v>1591</v>
      </c>
      <c r="F2" s="2" t="s">
        <v>38</v>
      </c>
      <c r="G2" s="2" t="s">
        <v>1592</v>
      </c>
      <c r="H2" s="2" t="s">
        <v>39</v>
      </c>
      <c r="I2" s="2" t="s">
        <v>40</v>
      </c>
      <c r="J2" s="2" t="s">
        <v>2193</v>
      </c>
      <c r="K2" s="2" t="s">
        <v>2194</v>
      </c>
      <c r="L2" s="2" t="s">
        <v>1593</v>
      </c>
      <c r="M2" s="2"/>
      <c r="N2" s="2" t="s">
        <v>1594</v>
      </c>
    </row>
    <row r="3">
      <c r="A3" s="2">
        <v>2</v>
      </c>
      <c r="B3" s="2" t="s">
        <v>43</v>
      </c>
      <c r="C3" s="2" t="s">
        <v>41</v>
      </c>
      <c r="D3" s="2" t="s">
        <v>42</v>
      </c>
      <c r="E3" s="2" t="s">
        <v>1595</v>
      </c>
      <c r="F3" s="2" t="s">
        <v>53</v>
      </c>
      <c r="G3" s="2" t="s">
        <v>1596</v>
      </c>
      <c r="H3" s="2" t="s">
        <v>54</v>
      </c>
      <c r="I3" s="2" t="s">
        <v>55</v>
      </c>
      <c r="J3" s="2" t="s">
        <v>2195</v>
      </c>
      <c r="K3" s="2" t="s">
        <v>2196</v>
      </c>
      <c r="L3" s="2" t="s">
        <v>1597</v>
      </c>
      <c r="M3" s="2"/>
      <c r="N3" s="2" t="s">
        <v>1598</v>
      </c>
    </row>
    <row r="4">
      <c r="A4" s="2">
        <v>3</v>
      </c>
      <c r="B4" s="2" t="s">
        <v>24</v>
      </c>
      <c r="C4" s="2" t="s">
        <v>56</v>
      </c>
      <c r="D4" s="2" t="s">
        <v>57</v>
      </c>
      <c r="E4" s="2" t="s">
        <v>1599</v>
      </c>
      <c r="F4" s="2" t="s">
        <v>67</v>
      </c>
      <c r="G4" s="2" t="s">
        <v>1600</v>
      </c>
      <c r="H4" s="2" t="s">
        <v>68</v>
      </c>
      <c r="I4" s="2" t="s">
        <v>69</v>
      </c>
      <c r="J4" s="2" t="s">
        <v>2197</v>
      </c>
      <c r="K4" s="2" t="s">
        <v>2198</v>
      </c>
      <c r="L4" s="2" t="s">
        <v>1593</v>
      </c>
      <c r="M4" s="2"/>
      <c r="N4" s="2" t="s">
        <v>1601</v>
      </c>
    </row>
    <row r="5">
      <c r="A5" s="2">
        <v>4</v>
      </c>
      <c r="B5" s="2" t="s">
        <v>24</v>
      </c>
      <c r="C5" s="2" t="s">
        <v>70</v>
      </c>
      <c r="D5" s="2" t="s">
        <v>71</v>
      </c>
      <c r="E5" s="2" t="s">
        <v>1602</v>
      </c>
      <c r="F5" s="2" t="s">
        <v>78</v>
      </c>
      <c r="G5" s="2" t="s">
        <v>1603</v>
      </c>
      <c r="H5" s="2" t="s">
        <v>79</v>
      </c>
      <c r="I5" s="2" t="s">
        <v>80</v>
      </c>
      <c r="J5" s="2"/>
      <c r="K5" s="2"/>
      <c r="L5" s="2" t="s">
        <v>1593</v>
      </c>
      <c r="M5" s="2" t="s">
        <v>81</v>
      </c>
      <c r="N5" s="2" t="s">
        <v>1604</v>
      </c>
    </row>
    <row r="6">
      <c r="A6" s="2">
        <v>5</v>
      </c>
      <c r="B6" s="2" t="s">
        <v>24</v>
      </c>
      <c r="C6" s="2" t="s">
        <v>82</v>
      </c>
      <c r="D6" s="2" t="s">
        <v>83</v>
      </c>
      <c r="E6" s="2" t="s">
        <v>1605</v>
      </c>
      <c r="F6" s="2" t="s">
        <v>88</v>
      </c>
      <c r="G6" s="2" t="s">
        <v>1606</v>
      </c>
      <c r="H6" s="2" t="s">
        <v>89</v>
      </c>
      <c r="I6" s="2" t="s">
        <v>90</v>
      </c>
      <c r="J6" s="2" t="s">
        <v>2199</v>
      </c>
      <c r="K6" s="2" t="s">
        <v>2200</v>
      </c>
      <c r="L6" s="2" t="s">
        <v>1593</v>
      </c>
      <c r="M6" s="2"/>
      <c r="N6" s="2" t="s">
        <v>1607</v>
      </c>
    </row>
    <row r="7">
      <c r="A7" s="2">
        <v>6</v>
      </c>
      <c r="B7" s="2" t="s">
        <v>24</v>
      </c>
      <c r="C7" s="2" t="s">
        <v>56</v>
      </c>
      <c r="D7" s="2" t="s">
        <v>91</v>
      </c>
      <c r="E7" s="2" t="s">
        <v>1608</v>
      </c>
      <c r="F7" s="2" t="s">
        <v>94</v>
      </c>
      <c r="G7" s="2" t="s">
        <v>1609</v>
      </c>
      <c r="H7" s="2" t="s">
        <v>95</v>
      </c>
      <c r="I7" s="2" t="s">
        <v>96</v>
      </c>
      <c r="J7" s="2" t="s">
        <v>2201</v>
      </c>
      <c r="K7" s="2" t="s">
        <v>2202</v>
      </c>
      <c r="L7" s="2" t="s">
        <v>1593</v>
      </c>
      <c r="M7" s="2" t="s">
        <v>81</v>
      </c>
      <c r="N7" s="2" t="s">
        <v>1610</v>
      </c>
    </row>
    <row r="8">
      <c r="A8" s="2">
        <v>7</v>
      </c>
      <c r="B8" s="2" t="s">
        <v>24</v>
      </c>
      <c r="C8" s="2" t="s">
        <v>41</v>
      </c>
      <c r="D8" s="2" t="s">
        <v>97</v>
      </c>
      <c r="E8" s="2" t="s">
        <v>1611</v>
      </c>
      <c r="F8" s="2" t="s">
        <v>100</v>
      </c>
      <c r="G8" s="2" t="s">
        <v>1606</v>
      </c>
      <c r="H8" s="2" t="s">
        <v>101</v>
      </c>
      <c r="I8" s="2" t="s">
        <v>102</v>
      </c>
      <c r="J8" s="2" t="s">
        <v>2203</v>
      </c>
      <c r="K8" s="2" t="s">
        <v>2204</v>
      </c>
      <c r="L8" s="2" t="s">
        <v>1593</v>
      </c>
      <c r="M8" s="2"/>
      <c r="N8" s="2" t="s">
        <v>1612</v>
      </c>
    </row>
    <row r="9">
      <c r="A9" s="2">
        <v>8</v>
      </c>
      <c r="B9" s="2" t="s">
        <v>24</v>
      </c>
      <c r="C9" s="2" t="s">
        <v>41</v>
      </c>
      <c r="D9" s="2" t="s">
        <v>103</v>
      </c>
      <c r="E9" s="2" t="s">
        <v>1613</v>
      </c>
      <c r="F9" s="2" t="s">
        <v>107</v>
      </c>
      <c r="G9" s="2" t="s">
        <v>1606</v>
      </c>
      <c r="H9" s="2" t="s">
        <v>108</v>
      </c>
      <c r="I9" s="2" t="s">
        <v>109</v>
      </c>
      <c r="J9" s="2" t="s">
        <v>2205</v>
      </c>
      <c r="K9" s="2" t="s">
        <v>2206</v>
      </c>
      <c r="L9" s="2" t="s">
        <v>1593</v>
      </c>
      <c r="M9" s="2"/>
      <c r="N9" s="2" t="s">
        <v>1614</v>
      </c>
    </row>
    <row r="10">
      <c r="A10" s="2">
        <v>9</v>
      </c>
      <c r="B10" s="2" t="s">
        <v>24</v>
      </c>
      <c r="C10" s="2" t="s">
        <v>110</v>
      </c>
      <c r="D10" s="2" t="s">
        <v>111</v>
      </c>
      <c r="E10" s="2" t="s">
        <v>1615</v>
      </c>
      <c r="F10" s="2" t="s">
        <v>114</v>
      </c>
      <c r="G10" s="2" t="s">
        <v>1616</v>
      </c>
      <c r="H10" s="2" t="s">
        <v>115</v>
      </c>
      <c r="I10" s="2" t="s">
        <v>116</v>
      </c>
      <c r="J10" s="2"/>
      <c r="K10" s="2" t="s">
        <v>2207</v>
      </c>
      <c r="L10" s="2" t="s">
        <v>1593</v>
      </c>
      <c r="M10" s="2" t="s">
        <v>81</v>
      </c>
      <c r="N10" s="2" t="s">
        <v>1617</v>
      </c>
    </row>
    <row r="11">
      <c r="A11" s="2">
        <v>10</v>
      </c>
      <c r="B11" s="2" t="s">
        <v>43</v>
      </c>
      <c r="C11" s="2" t="s">
        <v>117</v>
      </c>
      <c r="D11" s="2" t="s">
        <v>118</v>
      </c>
      <c r="E11" s="2" t="s">
        <v>1618</v>
      </c>
      <c r="F11" s="2" t="s">
        <v>121</v>
      </c>
      <c r="G11" s="2" t="s">
        <v>1596</v>
      </c>
      <c r="H11" s="2" t="s">
        <v>122</v>
      </c>
      <c r="I11" s="2" t="s">
        <v>123</v>
      </c>
      <c r="J11" s="2" t="s">
        <v>2208</v>
      </c>
      <c r="K11" s="2" t="s">
        <v>2209</v>
      </c>
      <c r="L11" s="2" t="s">
        <v>1619</v>
      </c>
      <c r="M11" s="2"/>
      <c r="N11" s="2" t="s">
        <v>1620</v>
      </c>
    </row>
    <row r="12">
      <c r="A12" s="2">
        <v>11</v>
      </c>
      <c r="B12" s="2" t="s">
        <v>43</v>
      </c>
      <c r="C12" s="2" t="s">
        <v>110</v>
      </c>
      <c r="D12" s="2" t="s">
        <v>124</v>
      </c>
      <c r="E12" s="2" t="s">
        <v>1621</v>
      </c>
      <c r="F12" s="2" t="s">
        <v>128</v>
      </c>
      <c r="G12" s="2" t="s">
        <v>1622</v>
      </c>
      <c r="H12" s="2" t="s">
        <v>129</v>
      </c>
      <c r="I12" s="2" t="s">
        <v>130</v>
      </c>
      <c r="J12" s="2" t="s">
        <v>2210</v>
      </c>
      <c r="K12" s="2" t="s">
        <v>2211</v>
      </c>
      <c r="L12" s="2" t="s">
        <v>1593</v>
      </c>
      <c r="M12" s="2"/>
      <c r="N12" s="2" t="s">
        <v>1623</v>
      </c>
    </row>
    <row r="13">
      <c r="A13" s="2">
        <v>12</v>
      </c>
      <c r="B13" s="2" t="s">
        <v>43</v>
      </c>
      <c r="C13" s="2" t="s">
        <v>131</v>
      </c>
      <c r="D13" s="2" t="s">
        <v>132</v>
      </c>
      <c r="E13" s="2" t="s">
        <v>1624</v>
      </c>
      <c r="F13" s="2" t="s">
        <v>135</v>
      </c>
      <c r="G13" s="2" t="s">
        <v>1625</v>
      </c>
      <c r="H13" s="2" t="s">
        <v>136</v>
      </c>
      <c r="I13" s="2" t="s">
        <v>137</v>
      </c>
      <c r="J13" s="2" t="s">
        <v>2212</v>
      </c>
      <c r="K13" s="2" t="s">
        <v>2213</v>
      </c>
      <c r="L13" s="2" t="s">
        <v>1593</v>
      </c>
      <c r="M13" s="2"/>
      <c r="N13" s="2" t="s">
        <v>1626</v>
      </c>
    </row>
    <row r="14">
      <c r="A14" s="2">
        <v>13</v>
      </c>
      <c r="B14" s="2" t="s">
        <v>24</v>
      </c>
      <c r="C14" s="2" t="s">
        <v>70</v>
      </c>
      <c r="D14" s="2" t="s">
        <v>138</v>
      </c>
      <c r="E14" s="2" t="s">
        <v>1627</v>
      </c>
      <c r="F14" s="2" t="s">
        <v>142</v>
      </c>
      <c r="G14" s="2" t="s">
        <v>1628</v>
      </c>
      <c r="H14" s="2" t="s">
        <v>143</v>
      </c>
      <c r="I14" s="2" t="s">
        <v>144</v>
      </c>
      <c r="J14" s="2" t="s">
        <v>2214</v>
      </c>
      <c r="K14" s="2"/>
      <c r="L14" s="2" t="s">
        <v>1593</v>
      </c>
      <c r="M14" s="2" t="s">
        <v>145</v>
      </c>
      <c r="N14" s="2" t="s">
        <v>1629</v>
      </c>
    </row>
    <row r="15">
      <c r="A15" s="2">
        <v>14</v>
      </c>
      <c r="B15" s="2" t="s">
        <v>24</v>
      </c>
      <c r="C15" s="2" t="s">
        <v>110</v>
      </c>
      <c r="D15" s="2" t="s">
        <v>146</v>
      </c>
      <c r="E15" s="2" t="s">
        <v>1630</v>
      </c>
      <c r="F15" s="2" t="s">
        <v>149</v>
      </c>
      <c r="G15" s="2" t="s">
        <v>1631</v>
      </c>
      <c r="H15" s="2" t="s">
        <v>150</v>
      </c>
      <c r="I15" s="2" t="s">
        <v>151</v>
      </c>
      <c r="J15" s="2" t="s">
        <v>2215</v>
      </c>
      <c r="K15" s="2" t="s">
        <v>2216</v>
      </c>
      <c r="L15" s="2" t="s">
        <v>1593</v>
      </c>
      <c r="M15" s="2" t="s">
        <v>152</v>
      </c>
      <c r="N15" s="2" t="s">
        <v>1632</v>
      </c>
    </row>
    <row r="16">
      <c r="A16" s="2">
        <v>15</v>
      </c>
      <c r="B16" s="2" t="s">
        <v>24</v>
      </c>
      <c r="C16" s="2" t="s">
        <v>82</v>
      </c>
      <c r="D16" s="2" t="s">
        <v>153</v>
      </c>
      <c r="E16" s="2" t="s">
        <v>1633</v>
      </c>
      <c r="F16" s="2" t="s">
        <v>156</v>
      </c>
      <c r="G16" s="2" t="s">
        <v>1634</v>
      </c>
      <c r="H16" s="2" t="s">
        <v>157</v>
      </c>
      <c r="I16" s="2" t="s">
        <v>158</v>
      </c>
      <c r="J16" s="2" t="s">
        <v>2217</v>
      </c>
      <c r="K16" s="2" t="s">
        <v>2218</v>
      </c>
      <c r="L16" s="2" t="s">
        <v>1593</v>
      </c>
      <c r="M16" s="2" t="s">
        <v>81</v>
      </c>
      <c r="N16" s="2" t="s">
        <v>1635</v>
      </c>
    </row>
    <row r="17">
      <c r="A17" s="2">
        <v>16</v>
      </c>
      <c r="B17" s="2" t="s">
        <v>43</v>
      </c>
      <c r="C17" s="2" t="s">
        <v>82</v>
      </c>
      <c r="D17" s="2" t="s">
        <v>159</v>
      </c>
      <c r="E17" s="2" t="s">
        <v>1636</v>
      </c>
      <c r="F17" s="2" t="s">
        <v>165</v>
      </c>
      <c r="G17" s="2" t="s">
        <v>1637</v>
      </c>
      <c r="H17" s="2" t="s">
        <v>166</v>
      </c>
      <c r="I17" s="2" t="s">
        <v>167</v>
      </c>
      <c r="J17" s="2" t="s">
        <v>2219</v>
      </c>
      <c r="K17" s="2" t="s">
        <v>2220</v>
      </c>
      <c r="L17" s="2" t="s">
        <v>1593</v>
      </c>
      <c r="M17" s="2" t="s">
        <v>81</v>
      </c>
      <c r="N17" s="2" t="s">
        <v>1638</v>
      </c>
    </row>
    <row r="18">
      <c r="A18" s="2">
        <v>17</v>
      </c>
      <c r="B18" s="2" t="s">
        <v>43</v>
      </c>
      <c r="C18" s="2" t="s">
        <v>117</v>
      </c>
      <c r="D18" s="2" t="s">
        <v>168</v>
      </c>
      <c r="E18" s="2" t="s">
        <v>1639</v>
      </c>
      <c r="F18" s="2" t="s">
        <v>172</v>
      </c>
      <c r="G18" s="2" t="s">
        <v>1606</v>
      </c>
      <c r="H18" s="2" t="s">
        <v>173</v>
      </c>
      <c r="I18" s="2" t="s">
        <v>174</v>
      </c>
      <c r="J18" s="2"/>
      <c r="K18" s="2"/>
      <c r="L18" s="2" t="s">
        <v>1593</v>
      </c>
      <c r="M18" s="2" t="s">
        <v>81</v>
      </c>
      <c r="N18" s="2" t="s">
        <v>1640</v>
      </c>
    </row>
    <row r="19">
      <c r="A19" s="2">
        <v>18</v>
      </c>
      <c r="B19" s="2" t="s">
        <v>43</v>
      </c>
      <c r="C19" s="2" t="s">
        <v>41</v>
      </c>
      <c r="D19" s="2" t="s">
        <v>175</v>
      </c>
      <c r="E19" s="2" t="s">
        <v>1641</v>
      </c>
      <c r="F19" s="2" t="s">
        <v>182</v>
      </c>
      <c r="G19" s="2" t="s">
        <v>1606</v>
      </c>
      <c r="H19" s="2" t="s">
        <v>183</v>
      </c>
      <c r="I19" s="2" t="s">
        <v>184</v>
      </c>
      <c r="J19" s="2" t="s">
        <v>2221</v>
      </c>
      <c r="K19" s="2" t="s">
        <v>2222</v>
      </c>
      <c r="L19" s="2" t="s">
        <v>1593</v>
      </c>
      <c r="M19" s="2"/>
      <c r="N19" s="2" t="s">
        <v>1642</v>
      </c>
    </row>
    <row r="20">
      <c r="A20" s="2">
        <v>19</v>
      </c>
      <c r="B20" s="2" t="s">
        <v>24</v>
      </c>
      <c r="C20" s="2" t="s">
        <v>117</v>
      </c>
      <c r="D20" s="2" t="s">
        <v>185</v>
      </c>
      <c r="E20" s="2" t="s">
        <v>1643</v>
      </c>
      <c r="F20" s="2" t="s">
        <v>188</v>
      </c>
      <c r="G20" s="2" t="s">
        <v>1644</v>
      </c>
      <c r="H20" s="2" t="s">
        <v>189</v>
      </c>
      <c r="I20" s="2" t="s">
        <v>190</v>
      </c>
      <c r="J20" s="2" t="s">
        <v>2223</v>
      </c>
      <c r="K20" s="2" t="s">
        <v>2224</v>
      </c>
      <c r="L20" s="2" t="s">
        <v>1593</v>
      </c>
      <c r="M20" s="2" t="s">
        <v>191</v>
      </c>
      <c r="N20" s="2" t="s">
        <v>1645</v>
      </c>
    </row>
    <row r="21">
      <c r="A21" s="2">
        <v>20</v>
      </c>
      <c r="B21" s="2" t="s">
        <v>24</v>
      </c>
      <c r="C21" s="2" t="s">
        <v>192</v>
      </c>
      <c r="D21" s="2" t="s">
        <v>193</v>
      </c>
      <c r="E21" s="2" t="s">
        <v>1646</v>
      </c>
      <c r="F21" s="2" t="s">
        <v>194</v>
      </c>
      <c r="G21" s="2" t="s">
        <v>1647</v>
      </c>
      <c r="H21" s="2" t="s">
        <v>195</v>
      </c>
      <c r="I21" s="2" t="s">
        <v>196</v>
      </c>
      <c r="J21" s="2" t="s">
        <v>2225</v>
      </c>
      <c r="K21" s="2" t="s">
        <v>2226</v>
      </c>
      <c r="L21" s="2" t="s">
        <v>1593</v>
      </c>
      <c r="M21" s="2" t="s">
        <v>197</v>
      </c>
      <c r="N21" s="2" t="s">
        <v>1648</v>
      </c>
    </row>
    <row r="22">
      <c r="A22" s="2">
        <v>21</v>
      </c>
      <c r="B22" s="2" t="s">
        <v>24</v>
      </c>
      <c r="C22" s="2" t="s">
        <v>117</v>
      </c>
      <c r="D22" s="2" t="s">
        <v>198</v>
      </c>
      <c r="E22" s="2" t="s">
        <v>1649</v>
      </c>
      <c r="F22" s="2" t="s">
        <v>199</v>
      </c>
      <c r="G22" s="2" t="s">
        <v>1644</v>
      </c>
      <c r="H22" s="2" t="s">
        <v>200</v>
      </c>
      <c r="I22" s="2" t="s">
        <v>201</v>
      </c>
      <c r="J22" s="2" t="s">
        <v>2227</v>
      </c>
      <c r="K22" s="2"/>
      <c r="L22" s="2" t="s">
        <v>1593</v>
      </c>
      <c r="M22" s="2"/>
      <c r="N22" s="2" t="s">
        <v>1650</v>
      </c>
    </row>
    <row r="23">
      <c r="A23" s="2">
        <v>22</v>
      </c>
      <c r="B23" s="2" t="s">
        <v>43</v>
      </c>
      <c r="C23" s="2" t="s">
        <v>41</v>
      </c>
      <c r="D23" s="2" t="s">
        <v>202</v>
      </c>
      <c r="E23" s="2" t="s">
        <v>1651</v>
      </c>
      <c r="F23" s="2" t="s">
        <v>207</v>
      </c>
      <c r="G23" s="2" t="s">
        <v>1652</v>
      </c>
      <c r="H23" s="2" t="s">
        <v>208</v>
      </c>
      <c r="I23" s="2" t="s">
        <v>209</v>
      </c>
      <c r="J23" s="2" t="s">
        <v>2228</v>
      </c>
      <c r="K23" s="2" t="s">
        <v>2229</v>
      </c>
      <c r="L23" s="2" t="s">
        <v>1593</v>
      </c>
      <c r="M23" s="2"/>
      <c r="N23" s="2" t="s">
        <v>1653</v>
      </c>
    </row>
    <row r="24">
      <c r="A24" s="2">
        <v>23</v>
      </c>
      <c r="B24" s="2" t="s">
        <v>24</v>
      </c>
      <c r="C24" s="2" t="s">
        <v>117</v>
      </c>
      <c r="D24" s="2" t="s">
        <v>210</v>
      </c>
      <c r="E24" s="2" t="s">
        <v>1654</v>
      </c>
      <c r="F24" s="2" t="s">
        <v>211</v>
      </c>
      <c r="G24" s="2" t="s">
        <v>1606</v>
      </c>
      <c r="H24" s="2" t="s">
        <v>212</v>
      </c>
      <c r="I24" s="2" t="s">
        <v>213</v>
      </c>
      <c r="J24" s="2" t="s">
        <v>2230</v>
      </c>
      <c r="K24" s="2"/>
      <c r="L24" s="2" t="s">
        <v>1593</v>
      </c>
      <c r="M24" s="2"/>
      <c r="N24" s="2" t="s">
        <v>1655</v>
      </c>
    </row>
    <row r="25">
      <c r="A25" s="2">
        <v>24</v>
      </c>
      <c r="B25" s="2" t="s">
        <v>24</v>
      </c>
      <c r="C25" s="2" t="s">
        <v>41</v>
      </c>
      <c r="D25" s="2" t="s">
        <v>214</v>
      </c>
      <c r="E25" s="2" t="s">
        <v>1656</v>
      </c>
      <c r="F25" s="2" t="s">
        <v>194</v>
      </c>
      <c r="G25" s="2" t="s">
        <v>1652</v>
      </c>
      <c r="H25" s="2" t="s">
        <v>219</v>
      </c>
      <c r="I25" s="2" t="s">
        <v>220</v>
      </c>
      <c r="J25" s="2" t="s">
        <v>2231</v>
      </c>
      <c r="K25" s="2" t="s">
        <v>2232</v>
      </c>
      <c r="L25" s="2" t="s">
        <v>1593</v>
      </c>
      <c r="M25" s="2" t="s">
        <v>81</v>
      </c>
      <c r="N25" s="2" t="s">
        <v>1657</v>
      </c>
    </row>
    <row r="26">
      <c r="A26" s="2">
        <v>25</v>
      </c>
      <c r="B26" s="2" t="s">
        <v>24</v>
      </c>
      <c r="C26" s="2" t="s">
        <v>221</v>
      </c>
      <c r="D26" s="2" t="s">
        <v>222</v>
      </c>
      <c r="E26" s="2" t="s">
        <v>1658</v>
      </c>
      <c r="F26" s="2" t="s">
        <v>128</v>
      </c>
      <c r="G26" s="2" t="s">
        <v>1659</v>
      </c>
      <c r="H26" s="2" t="s">
        <v>226</v>
      </c>
      <c r="I26" s="2" t="s">
        <v>227</v>
      </c>
      <c r="J26" s="2" t="s">
        <v>2233</v>
      </c>
      <c r="K26" s="2" t="s">
        <v>2234</v>
      </c>
      <c r="L26" s="2" t="s">
        <v>1593</v>
      </c>
      <c r="M26" s="2"/>
      <c r="N26" s="2" t="s">
        <v>1660</v>
      </c>
    </row>
    <row r="27">
      <c r="A27" s="2">
        <v>26</v>
      </c>
      <c r="B27" s="2" t="s">
        <v>24</v>
      </c>
      <c r="C27" s="2" t="s">
        <v>82</v>
      </c>
      <c r="D27" s="2" t="s">
        <v>228</v>
      </c>
      <c r="E27" s="2" t="s">
        <v>1661</v>
      </c>
      <c r="F27" s="2" t="s">
        <v>231</v>
      </c>
      <c r="G27" s="2" t="s">
        <v>1662</v>
      </c>
      <c r="H27" s="2" t="s">
        <v>232</v>
      </c>
      <c r="I27" s="2" t="s">
        <v>233</v>
      </c>
      <c r="J27" s="2" t="s">
        <v>2235</v>
      </c>
      <c r="K27" s="2" t="s">
        <v>2236</v>
      </c>
      <c r="L27" s="2" t="s">
        <v>1593</v>
      </c>
      <c r="M27" s="2"/>
      <c r="N27" s="2" t="s">
        <v>1663</v>
      </c>
    </row>
    <row r="28">
      <c r="A28" s="2">
        <v>27</v>
      </c>
      <c r="B28" s="2" t="s">
        <v>24</v>
      </c>
      <c r="C28" s="2" t="s">
        <v>41</v>
      </c>
      <c r="D28" s="2" t="s">
        <v>234</v>
      </c>
      <c r="E28" s="2" t="s">
        <v>1664</v>
      </c>
      <c r="F28" s="2" t="s">
        <v>194</v>
      </c>
      <c r="G28" s="2" t="s">
        <v>1606</v>
      </c>
      <c r="H28" s="2" t="s">
        <v>237</v>
      </c>
      <c r="I28" s="2" t="s">
        <v>238</v>
      </c>
      <c r="J28" s="2" t="s">
        <v>2237</v>
      </c>
      <c r="K28" s="2" t="s">
        <v>2238</v>
      </c>
      <c r="L28" s="2" t="s">
        <v>1593</v>
      </c>
      <c r="M28" s="2" t="s">
        <v>145</v>
      </c>
      <c r="N28" s="2" t="s">
        <v>1665</v>
      </c>
    </row>
    <row r="29">
      <c r="A29" s="2">
        <v>28</v>
      </c>
      <c r="B29" s="2" t="s">
        <v>24</v>
      </c>
      <c r="C29" s="2" t="s">
        <v>239</v>
      </c>
      <c r="D29" s="2" t="s">
        <v>240</v>
      </c>
      <c r="E29" s="2" t="s">
        <v>1666</v>
      </c>
      <c r="F29" s="2" t="s">
        <v>245</v>
      </c>
      <c r="G29" s="2" t="s">
        <v>1667</v>
      </c>
      <c r="H29" s="2" t="s">
        <v>246</v>
      </c>
      <c r="I29" s="2" t="s">
        <v>247</v>
      </c>
      <c r="J29" s="2"/>
      <c r="K29" s="2" t="s">
        <v>2239</v>
      </c>
      <c r="L29" s="2" t="s">
        <v>1593</v>
      </c>
      <c r="M29" s="2"/>
      <c r="N29" s="2" t="s">
        <v>1668</v>
      </c>
    </row>
    <row r="30">
      <c r="A30" s="2">
        <v>29</v>
      </c>
      <c r="B30" s="2" t="s">
        <v>24</v>
      </c>
      <c r="C30" s="2" t="s">
        <v>110</v>
      </c>
      <c r="D30" s="2" t="s">
        <v>248</v>
      </c>
      <c r="E30" s="2" t="s">
        <v>1669</v>
      </c>
      <c r="F30" s="2" t="s">
        <v>249</v>
      </c>
      <c r="G30" s="2" t="s">
        <v>1670</v>
      </c>
      <c r="H30" s="2" t="s">
        <v>250</v>
      </c>
      <c r="I30" s="2" t="s">
        <v>251</v>
      </c>
      <c r="J30" s="2" t="s">
        <v>2240</v>
      </c>
      <c r="K30" s="2" t="s">
        <v>2241</v>
      </c>
      <c r="L30" s="2" t="s">
        <v>1597</v>
      </c>
      <c r="M30" s="2"/>
      <c r="N30" s="2" t="s">
        <v>1671</v>
      </c>
    </row>
    <row r="31">
      <c r="A31" s="2">
        <v>30</v>
      </c>
      <c r="B31" s="2" t="s">
        <v>24</v>
      </c>
      <c r="C31" s="2" t="s">
        <v>41</v>
      </c>
      <c r="D31" s="2" t="s">
        <v>252</v>
      </c>
      <c r="E31" s="2" t="s">
        <v>1672</v>
      </c>
      <c r="F31" s="2" t="s">
        <v>253</v>
      </c>
      <c r="G31" s="2" t="s">
        <v>1596</v>
      </c>
      <c r="H31" s="2" t="s">
        <v>254</v>
      </c>
      <c r="I31" s="2" t="s">
        <v>255</v>
      </c>
      <c r="J31" s="2" t="s">
        <v>2242</v>
      </c>
      <c r="K31" s="2" t="s">
        <v>2243</v>
      </c>
      <c r="L31" s="2" t="s">
        <v>1593</v>
      </c>
      <c r="M31" s="2" t="s">
        <v>197</v>
      </c>
      <c r="N31" s="2" t="s">
        <v>1673</v>
      </c>
    </row>
    <row r="32">
      <c r="A32" s="2">
        <v>31</v>
      </c>
      <c r="B32" s="2" t="s">
        <v>43</v>
      </c>
      <c r="C32" s="2" t="s">
        <v>117</v>
      </c>
      <c r="D32" s="2" t="s">
        <v>256</v>
      </c>
      <c r="E32" s="2" t="s">
        <v>1674</v>
      </c>
      <c r="F32" s="2" t="s">
        <v>261</v>
      </c>
      <c r="G32" s="2" t="s">
        <v>1675</v>
      </c>
      <c r="H32" s="2" t="s">
        <v>262</v>
      </c>
      <c r="I32" s="2" t="s">
        <v>263</v>
      </c>
      <c r="J32" s="2" t="s">
        <v>2244</v>
      </c>
      <c r="K32" s="2"/>
      <c r="L32" s="2" t="s">
        <v>1593</v>
      </c>
      <c r="M32" s="2"/>
      <c r="N32" s="2" t="s">
        <v>1676</v>
      </c>
    </row>
    <row r="33">
      <c r="A33" s="2">
        <v>32</v>
      </c>
      <c r="B33" s="2" t="s">
        <v>24</v>
      </c>
      <c r="C33" s="2" t="s">
        <v>117</v>
      </c>
      <c r="D33" s="2" t="s">
        <v>264</v>
      </c>
      <c r="E33" s="2" t="s">
        <v>1677</v>
      </c>
      <c r="F33" s="2" t="s">
        <v>267</v>
      </c>
      <c r="G33" s="2" t="s">
        <v>1596</v>
      </c>
      <c r="H33" s="2" t="s">
        <v>268</v>
      </c>
      <c r="I33" s="2" t="s">
        <v>269</v>
      </c>
      <c r="J33" s="2" t="s">
        <v>2245</v>
      </c>
      <c r="K33" s="2"/>
      <c r="L33" s="2" t="s">
        <v>1593</v>
      </c>
      <c r="M33" s="2"/>
      <c r="N33" s="2" t="s">
        <v>1678</v>
      </c>
    </row>
    <row r="34">
      <c r="A34" s="2">
        <v>33</v>
      </c>
      <c r="B34" s="2" t="s">
        <v>24</v>
      </c>
      <c r="C34" s="2" t="s">
        <v>41</v>
      </c>
      <c r="D34" s="2" t="s">
        <v>270</v>
      </c>
      <c r="E34" s="2" t="s">
        <v>1679</v>
      </c>
      <c r="F34" s="2" t="s">
        <v>275</v>
      </c>
      <c r="G34" s="2" t="s">
        <v>1596</v>
      </c>
      <c r="H34" s="2" t="s">
        <v>276</v>
      </c>
      <c r="I34" s="2" t="s">
        <v>277</v>
      </c>
      <c r="J34" s="2" t="s">
        <v>2246</v>
      </c>
      <c r="K34" s="2" t="s">
        <v>2247</v>
      </c>
      <c r="L34" s="2" t="s">
        <v>1593</v>
      </c>
      <c r="M34" s="2"/>
      <c r="N34" s="2" t="s">
        <v>1680</v>
      </c>
    </row>
    <row r="35">
      <c r="A35" s="2">
        <v>34</v>
      </c>
      <c r="B35" s="2" t="s">
        <v>24</v>
      </c>
      <c r="C35" s="2" t="s">
        <v>110</v>
      </c>
      <c r="D35" s="2" t="s">
        <v>278</v>
      </c>
      <c r="E35" s="2" t="s">
        <v>1681</v>
      </c>
      <c r="F35" s="2" t="s">
        <v>281</v>
      </c>
      <c r="G35" s="2" t="s">
        <v>1682</v>
      </c>
      <c r="H35" s="2" t="s">
        <v>282</v>
      </c>
      <c r="I35" s="2" t="s">
        <v>283</v>
      </c>
      <c r="J35" s="2"/>
      <c r="K35" s="2" t="s">
        <v>2248</v>
      </c>
      <c r="L35" s="2" t="s">
        <v>1593</v>
      </c>
      <c r="M35" s="2" t="s">
        <v>191</v>
      </c>
      <c r="N35" s="2" t="s">
        <v>1683</v>
      </c>
    </row>
    <row r="36">
      <c r="A36" s="2">
        <v>35</v>
      </c>
      <c r="B36" s="2" t="s">
        <v>43</v>
      </c>
      <c r="C36" s="2" t="s">
        <v>117</v>
      </c>
      <c r="D36" s="2" t="s">
        <v>284</v>
      </c>
      <c r="E36" s="2" t="s">
        <v>1684</v>
      </c>
      <c r="F36" s="2" t="s">
        <v>287</v>
      </c>
      <c r="G36" s="2" t="s">
        <v>1652</v>
      </c>
      <c r="H36" s="2" t="s">
        <v>288</v>
      </c>
      <c r="I36" s="2" t="s">
        <v>289</v>
      </c>
      <c r="J36" s="2" t="s">
        <v>2249</v>
      </c>
      <c r="K36" s="2" t="s">
        <v>2250</v>
      </c>
      <c r="L36" s="2" t="s">
        <v>1593</v>
      </c>
      <c r="M36" s="2"/>
      <c r="N36" s="2" t="s">
        <v>1685</v>
      </c>
    </row>
    <row r="37">
      <c r="A37" s="2">
        <v>36</v>
      </c>
      <c r="B37" s="2" t="s">
        <v>24</v>
      </c>
      <c r="C37" s="2" t="s">
        <v>239</v>
      </c>
      <c r="D37" s="2" t="s">
        <v>290</v>
      </c>
      <c r="E37" s="2" t="s">
        <v>1686</v>
      </c>
      <c r="F37" s="2" t="s">
        <v>107</v>
      </c>
      <c r="G37" s="2" t="s">
        <v>1687</v>
      </c>
      <c r="H37" s="2" t="s">
        <v>292</v>
      </c>
      <c r="I37" s="2" t="s">
        <v>293</v>
      </c>
      <c r="J37" s="2" t="s">
        <v>2251</v>
      </c>
      <c r="K37" s="2" t="s">
        <v>2252</v>
      </c>
      <c r="L37" s="2" t="s">
        <v>1593</v>
      </c>
      <c r="M37" s="2"/>
      <c r="N37" s="2" t="s">
        <v>1688</v>
      </c>
    </row>
    <row r="38">
      <c r="A38" s="2">
        <v>37</v>
      </c>
      <c r="B38" s="2" t="s">
        <v>24</v>
      </c>
      <c r="C38" s="2" t="s">
        <v>117</v>
      </c>
      <c r="D38" s="2" t="s">
        <v>294</v>
      </c>
      <c r="E38" s="2" t="s">
        <v>1689</v>
      </c>
      <c r="F38" s="2" t="s">
        <v>295</v>
      </c>
      <c r="G38" s="2" t="s">
        <v>1596</v>
      </c>
      <c r="H38" s="2" t="s">
        <v>296</v>
      </c>
      <c r="I38" s="2" t="s">
        <v>297</v>
      </c>
      <c r="J38" s="2" t="s">
        <v>2253</v>
      </c>
      <c r="K38" s="2" t="s">
        <v>2254</v>
      </c>
      <c r="L38" s="2" t="s">
        <v>1593</v>
      </c>
      <c r="M38" s="2"/>
      <c r="N38" s="2" t="s">
        <v>1690</v>
      </c>
    </row>
    <row r="39">
      <c r="A39" s="2">
        <v>38</v>
      </c>
      <c r="B39" s="2" t="s">
        <v>24</v>
      </c>
      <c r="C39" s="2" t="s">
        <v>41</v>
      </c>
      <c r="D39" s="2" t="s">
        <v>298</v>
      </c>
      <c r="E39" s="2" t="s">
        <v>1691</v>
      </c>
      <c r="F39" s="2" t="s">
        <v>100</v>
      </c>
      <c r="G39" s="2" t="s">
        <v>1596</v>
      </c>
      <c r="H39" s="2" t="s">
        <v>299</v>
      </c>
      <c r="I39" s="2" t="s">
        <v>300</v>
      </c>
      <c r="J39" s="2" t="s">
        <v>2255</v>
      </c>
      <c r="K39" s="2" t="s">
        <v>2256</v>
      </c>
      <c r="L39" s="2" t="s">
        <v>1593</v>
      </c>
      <c r="M39" s="2"/>
      <c r="N39" s="2" t="s">
        <v>1692</v>
      </c>
    </row>
    <row r="40">
      <c r="A40" s="2">
        <v>39</v>
      </c>
      <c r="B40" s="2" t="s">
        <v>24</v>
      </c>
      <c r="C40" s="2" t="s">
        <v>82</v>
      </c>
      <c r="D40" s="2" t="s">
        <v>301</v>
      </c>
      <c r="E40" s="2" t="s">
        <v>1693</v>
      </c>
      <c r="F40" s="2" t="s">
        <v>94</v>
      </c>
      <c r="G40" s="2" t="s">
        <v>1637</v>
      </c>
      <c r="H40" s="2" t="s">
        <v>306</v>
      </c>
      <c r="I40" s="2" t="s">
        <v>307</v>
      </c>
      <c r="J40" s="2" t="s">
        <v>2257</v>
      </c>
      <c r="K40" s="2" t="s">
        <v>2258</v>
      </c>
      <c r="L40" s="2" t="s">
        <v>1593</v>
      </c>
      <c r="M40" s="2" t="s">
        <v>81</v>
      </c>
      <c r="N40" s="2" t="s">
        <v>1694</v>
      </c>
    </row>
    <row r="41">
      <c r="A41" s="2">
        <v>40</v>
      </c>
      <c r="B41" s="2" t="s">
        <v>43</v>
      </c>
      <c r="C41" s="2" t="s">
        <v>56</v>
      </c>
      <c r="D41" s="2" t="s">
        <v>308</v>
      </c>
      <c r="E41" s="2" t="s">
        <v>1695</v>
      </c>
      <c r="F41" s="2" t="s">
        <v>310</v>
      </c>
      <c r="G41" s="2" t="s">
        <v>1606</v>
      </c>
      <c r="H41" s="2" t="s">
        <v>311</v>
      </c>
      <c r="I41" s="2" t="s">
        <v>312</v>
      </c>
      <c r="J41" s="2" t="s">
        <v>2259</v>
      </c>
      <c r="K41" s="2"/>
      <c r="L41" s="2" t="s">
        <v>1597</v>
      </c>
      <c r="M41" s="2"/>
      <c r="N41" s="2" t="s">
        <v>1696</v>
      </c>
    </row>
    <row r="42">
      <c r="A42" s="2">
        <v>41</v>
      </c>
      <c r="B42" s="2" t="s">
        <v>24</v>
      </c>
      <c r="C42" s="2" t="s">
        <v>221</v>
      </c>
      <c r="D42" s="2" t="s">
        <v>313</v>
      </c>
      <c r="E42" s="2" t="s">
        <v>1697</v>
      </c>
      <c r="F42" s="2" t="s">
        <v>149</v>
      </c>
      <c r="G42" s="2" t="s">
        <v>1698</v>
      </c>
      <c r="H42" s="2" t="s">
        <v>315</v>
      </c>
      <c r="I42" s="2" t="s">
        <v>316</v>
      </c>
      <c r="J42" s="2" t="s">
        <v>2260</v>
      </c>
      <c r="K42" s="2" t="s">
        <v>2261</v>
      </c>
      <c r="L42" s="2" t="s">
        <v>1593</v>
      </c>
      <c r="M42" s="2" t="s">
        <v>317</v>
      </c>
      <c r="N42" s="2" t="s">
        <v>1699</v>
      </c>
    </row>
    <row r="43">
      <c r="A43" s="2">
        <v>42</v>
      </c>
      <c r="B43" s="2" t="s">
        <v>24</v>
      </c>
      <c r="C43" s="2" t="s">
        <v>82</v>
      </c>
      <c r="D43" s="2" t="s">
        <v>318</v>
      </c>
      <c r="E43" s="2" t="s">
        <v>1700</v>
      </c>
      <c r="F43" s="2" t="s">
        <v>128</v>
      </c>
      <c r="G43" s="2" t="s">
        <v>1701</v>
      </c>
      <c r="H43" s="2" t="s">
        <v>320</v>
      </c>
      <c r="I43" s="2" t="s">
        <v>321</v>
      </c>
      <c r="J43" s="2" t="s">
        <v>2262</v>
      </c>
      <c r="K43" s="2" t="s">
        <v>2263</v>
      </c>
      <c r="L43" s="2" t="s">
        <v>1593</v>
      </c>
      <c r="M43" s="2" t="s">
        <v>152</v>
      </c>
      <c r="N43" s="2" t="s">
        <v>1702</v>
      </c>
    </row>
    <row r="44">
      <c r="A44" s="2">
        <v>43</v>
      </c>
      <c r="B44" s="2" t="s">
        <v>24</v>
      </c>
      <c r="C44" s="2" t="s">
        <v>239</v>
      </c>
      <c r="D44" s="2" t="s">
        <v>322</v>
      </c>
      <c r="E44" s="2" t="s">
        <v>1703</v>
      </c>
      <c r="F44" s="2" t="s">
        <v>324</v>
      </c>
      <c r="G44" s="2" t="s">
        <v>1704</v>
      </c>
      <c r="H44" s="2" t="s">
        <v>325</v>
      </c>
      <c r="I44" s="2" t="s">
        <v>326</v>
      </c>
      <c r="J44" s="2"/>
      <c r="K44" s="2" t="s">
        <v>2264</v>
      </c>
      <c r="L44" s="2" t="s">
        <v>1593</v>
      </c>
      <c r="M44" s="2"/>
      <c r="N44" s="2" t="s">
        <v>1705</v>
      </c>
    </row>
    <row r="45">
      <c r="A45" s="2">
        <v>44</v>
      </c>
      <c r="B45" s="2" t="s">
        <v>24</v>
      </c>
      <c r="C45" s="2" t="s">
        <v>221</v>
      </c>
      <c r="D45" s="2" t="s">
        <v>327</v>
      </c>
      <c r="E45" s="2" t="s">
        <v>1706</v>
      </c>
      <c r="F45" s="2" t="s">
        <v>281</v>
      </c>
      <c r="G45" s="2" t="s">
        <v>1707</v>
      </c>
      <c r="H45" s="2" t="s">
        <v>329</v>
      </c>
      <c r="I45" s="2" t="s">
        <v>330</v>
      </c>
      <c r="J45" s="2"/>
      <c r="K45" s="2" t="s">
        <v>2265</v>
      </c>
      <c r="L45" s="2" t="s">
        <v>1593</v>
      </c>
      <c r="M45" s="2"/>
      <c r="N45" s="2" t="s">
        <v>1708</v>
      </c>
    </row>
    <row r="46">
      <c r="A46" s="2">
        <v>45</v>
      </c>
      <c r="B46" s="2" t="s">
        <v>43</v>
      </c>
      <c r="C46" s="2" t="s">
        <v>41</v>
      </c>
      <c r="D46" s="2" t="s">
        <v>331</v>
      </c>
      <c r="E46" s="2" t="s">
        <v>1709</v>
      </c>
      <c r="F46" s="2" t="s">
        <v>333</v>
      </c>
      <c r="G46" s="2" t="s">
        <v>1606</v>
      </c>
      <c r="H46" s="2" t="s">
        <v>334</v>
      </c>
      <c r="I46" s="2" t="s">
        <v>335</v>
      </c>
      <c r="J46" s="2" t="s">
        <v>2266</v>
      </c>
      <c r="K46" s="2"/>
      <c r="L46" s="2" t="s">
        <v>1593</v>
      </c>
      <c r="M46" s="2" t="s">
        <v>145</v>
      </c>
      <c r="N46" s="2" t="s">
        <v>1710</v>
      </c>
    </row>
    <row r="47">
      <c r="A47" s="2">
        <v>46</v>
      </c>
      <c r="B47" s="2" t="s">
        <v>24</v>
      </c>
      <c r="C47" s="2" t="s">
        <v>239</v>
      </c>
      <c r="D47" s="2" t="s">
        <v>336</v>
      </c>
      <c r="E47" s="2" t="s">
        <v>1711</v>
      </c>
      <c r="F47" s="2" t="s">
        <v>107</v>
      </c>
      <c r="G47" s="2" t="s">
        <v>1712</v>
      </c>
      <c r="H47" s="2" t="s">
        <v>340</v>
      </c>
      <c r="I47" s="2" t="s">
        <v>341</v>
      </c>
      <c r="J47" s="2" t="s">
        <v>2267</v>
      </c>
      <c r="K47" s="2" t="s">
        <v>2268</v>
      </c>
      <c r="L47" s="2" t="s">
        <v>1593</v>
      </c>
      <c r="M47" s="2"/>
      <c r="N47" s="2" t="s">
        <v>1713</v>
      </c>
    </row>
    <row r="48">
      <c r="A48" s="2">
        <v>47</v>
      </c>
      <c r="B48" s="2" t="s">
        <v>24</v>
      </c>
      <c r="C48" s="2" t="s">
        <v>56</v>
      </c>
      <c r="D48" s="2" t="s">
        <v>342</v>
      </c>
      <c r="E48" s="2" t="s">
        <v>1714</v>
      </c>
      <c r="F48" s="2" t="s">
        <v>344</v>
      </c>
      <c r="G48" s="2" t="s">
        <v>1715</v>
      </c>
      <c r="H48" s="2" t="s">
        <v>345</v>
      </c>
      <c r="I48" s="2" t="s">
        <v>346</v>
      </c>
      <c r="J48" s="2" t="s">
        <v>2269</v>
      </c>
      <c r="K48" s="2" t="s">
        <v>2270</v>
      </c>
      <c r="L48" s="2" t="s">
        <v>1593</v>
      </c>
      <c r="M48" s="2"/>
      <c r="N48" s="2" t="s">
        <v>1716</v>
      </c>
    </row>
    <row r="49">
      <c r="A49" s="2">
        <v>48</v>
      </c>
      <c r="B49" s="2" t="s">
        <v>24</v>
      </c>
      <c r="C49" s="2" t="s">
        <v>110</v>
      </c>
      <c r="D49" s="2" t="s">
        <v>347</v>
      </c>
      <c r="E49" s="2" t="s">
        <v>1717</v>
      </c>
      <c r="F49" s="2" t="s">
        <v>149</v>
      </c>
      <c r="G49" s="2" t="s">
        <v>1718</v>
      </c>
      <c r="H49" s="2" t="s">
        <v>350</v>
      </c>
      <c r="I49" s="2" t="s">
        <v>351</v>
      </c>
      <c r="J49" s="2" t="s">
        <v>2271</v>
      </c>
      <c r="K49" s="2" t="s">
        <v>2272</v>
      </c>
      <c r="L49" s="2" t="s">
        <v>1593</v>
      </c>
      <c r="M49" s="2" t="s">
        <v>197</v>
      </c>
      <c r="N49" s="2" t="s">
        <v>1719</v>
      </c>
    </row>
    <row r="50">
      <c r="A50" s="2">
        <v>49</v>
      </c>
      <c r="B50" s="2" t="s">
        <v>24</v>
      </c>
      <c r="C50" s="2" t="s">
        <v>41</v>
      </c>
      <c r="D50" s="2" t="s">
        <v>352</v>
      </c>
      <c r="E50" s="2" t="s">
        <v>1720</v>
      </c>
      <c r="F50" s="2" t="s">
        <v>78</v>
      </c>
      <c r="G50" s="2" t="s">
        <v>1596</v>
      </c>
      <c r="H50" s="2" t="s">
        <v>355</v>
      </c>
      <c r="I50" s="2" t="s">
        <v>356</v>
      </c>
      <c r="J50" s="2" t="s">
        <v>2273</v>
      </c>
      <c r="K50" s="2" t="s">
        <v>2274</v>
      </c>
      <c r="L50" s="2" t="s">
        <v>1593</v>
      </c>
      <c r="M50" s="2" t="s">
        <v>81</v>
      </c>
      <c r="N50" s="2" t="s">
        <v>1721</v>
      </c>
    </row>
    <row r="51">
      <c r="A51" s="2">
        <v>50</v>
      </c>
      <c r="B51" s="2" t="s">
        <v>24</v>
      </c>
      <c r="C51" s="2" t="s">
        <v>56</v>
      </c>
      <c r="D51" s="2" t="s">
        <v>357</v>
      </c>
      <c r="E51" s="2" t="s">
        <v>1722</v>
      </c>
      <c r="F51" s="2" t="s">
        <v>358</v>
      </c>
      <c r="G51" s="2" t="s">
        <v>1723</v>
      </c>
      <c r="H51" s="2" t="s">
        <v>359</v>
      </c>
      <c r="I51" s="2" t="s">
        <v>360</v>
      </c>
      <c r="J51" s="2" t="s">
        <v>2275</v>
      </c>
      <c r="K51" s="2" t="s">
        <v>2276</v>
      </c>
      <c r="L51" s="2" t="s">
        <v>1593</v>
      </c>
      <c r="M51" s="2" t="s">
        <v>81</v>
      </c>
      <c r="N51" s="2" t="s">
        <v>1724</v>
      </c>
    </row>
    <row r="52">
      <c r="A52" s="2">
        <v>51</v>
      </c>
      <c r="B52" s="2" t="s">
        <v>24</v>
      </c>
      <c r="C52" s="2" t="s">
        <v>192</v>
      </c>
      <c r="D52" s="2" t="s">
        <v>361</v>
      </c>
      <c r="E52" s="2" t="s">
        <v>1725</v>
      </c>
      <c r="F52" s="2" t="s">
        <v>128</v>
      </c>
      <c r="G52" s="2" t="s">
        <v>1726</v>
      </c>
      <c r="H52" s="2" t="s">
        <v>363</v>
      </c>
      <c r="I52" s="2" t="s">
        <v>364</v>
      </c>
      <c r="J52" s="2" t="s">
        <v>2277</v>
      </c>
      <c r="K52" s="2" t="s">
        <v>2278</v>
      </c>
      <c r="L52" s="2" t="s">
        <v>1593</v>
      </c>
      <c r="M52" s="2" t="s">
        <v>197</v>
      </c>
      <c r="N52" s="2" t="s">
        <v>1727</v>
      </c>
    </row>
    <row r="53">
      <c r="A53" s="2">
        <v>52</v>
      </c>
      <c r="B53" s="2" t="s">
        <v>24</v>
      </c>
      <c r="C53" s="2" t="s">
        <v>192</v>
      </c>
      <c r="D53" s="2" t="s">
        <v>365</v>
      </c>
      <c r="E53" s="2" t="s">
        <v>1728</v>
      </c>
      <c r="F53" s="2" t="s">
        <v>367</v>
      </c>
      <c r="G53" s="2" t="s">
        <v>1707</v>
      </c>
      <c r="H53" s="2" t="s">
        <v>368</v>
      </c>
      <c r="I53" s="2" t="s">
        <v>369</v>
      </c>
      <c r="J53" s="2" t="s">
        <v>2279</v>
      </c>
      <c r="K53" s="2" t="s">
        <v>2280</v>
      </c>
      <c r="L53" s="2" t="s">
        <v>1593</v>
      </c>
      <c r="M53" s="2"/>
      <c r="N53" s="2" t="s">
        <v>1729</v>
      </c>
    </row>
    <row r="54">
      <c r="A54" s="2">
        <v>53</v>
      </c>
      <c r="B54" s="2" t="s">
        <v>43</v>
      </c>
      <c r="C54" s="2" t="s">
        <v>41</v>
      </c>
      <c r="D54" s="2" t="s">
        <v>370</v>
      </c>
      <c r="E54" s="2" t="s">
        <v>1730</v>
      </c>
      <c r="F54" s="2" t="s">
        <v>375</v>
      </c>
      <c r="G54" s="2" t="s">
        <v>1596</v>
      </c>
      <c r="H54" s="2" t="s">
        <v>376</v>
      </c>
      <c r="I54" s="2" t="s">
        <v>377</v>
      </c>
      <c r="J54" s="2" t="s">
        <v>2281</v>
      </c>
      <c r="K54" s="2" t="s">
        <v>2282</v>
      </c>
      <c r="L54" s="2" t="s">
        <v>1593</v>
      </c>
      <c r="M54" s="2"/>
      <c r="N54" s="2" t="s">
        <v>1731</v>
      </c>
    </row>
    <row r="55">
      <c r="A55" s="2">
        <v>54</v>
      </c>
      <c r="B55" s="2" t="s">
        <v>24</v>
      </c>
      <c r="C55" s="2" t="s">
        <v>117</v>
      </c>
      <c r="D55" s="2" t="s">
        <v>378</v>
      </c>
      <c r="E55" s="2" t="s">
        <v>1732</v>
      </c>
      <c r="F55" s="2" t="s">
        <v>382</v>
      </c>
      <c r="G55" s="2" t="s">
        <v>1733</v>
      </c>
      <c r="H55" s="2" t="s">
        <v>383</v>
      </c>
      <c r="I55" s="2" t="s">
        <v>384</v>
      </c>
      <c r="J55" s="2" t="s">
        <v>2283</v>
      </c>
      <c r="K55" s="2"/>
      <c r="L55" s="2" t="s">
        <v>1593</v>
      </c>
      <c r="M55" s="2" t="s">
        <v>81</v>
      </c>
      <c r="N55" s="2" t="s">
        <v>1734</v>
      </c>
    </row>
    <row r="56">
      <c r="A56" s="2">
        <v>55</v>
      </c>
      <c r="B56" s="2" t="s">
        <v>43</v>
      </c>
      <c r="C56" s="2" t="s">
        <v>41</v>
      </c>
      <c r="D56" s="2" t="s">
        <v>385</v>
      </c>
      <c r="E56" s="2" t="s">
        <v>1735</v>
      </c>
      <c r="F56" s="2" t="s">
        <v>67</v>
      </c>
      <c r="G56" s="2" t="s">
        <v>1652</v>
      </c>
      <c r="H56" s="2" t="s">
        <v>389</v>
      </c>
      <c r="I56" s="2" t="s">
        <v>390</v>
      </c>
      <c r="J56" s="2" t="s">
        <v>2284</v>
      </c>
      <c r="K56" s="2" t="s">
        <v>2285</v>
      </c>
      <c r="L56" s="2" t="s">
        <v>1593</v>
      </c>
      <c r="M56" s="2"/>
      <c r="N56" s="2" t="s">
        <v>1736</v>
      </c>
    </row>
    <row r="57">
      <c r="A57" s="2">
        <v>56</v>
      </c>
      <c r="B57" s="2" t="s">
        <v>24</v>
      </c>
      <c r="C57" s="2" t="s">
        <v>82</v>
      </c>
      <c r="D57" s="2" t="s">
        <v>391</v>
      </c>
      <c r="E57" s="2" t="s">
        <v>1737</v>
      </c>
      <c r="F57" s="2" t="s">
        <v>199</v>
      </c>
      <c r="G57" s="2" t="s">
        <v>1715</v>
      </c>
      <c r="H57" s="2" t="s">
        <v>392</v>
      </c>
      <c r="I57" s="2" t="s">
        <v>393</v>
      </c>
      <c r="J57" s="2" t="s">
        <v>2286</v>
      </c>
      <c r="K57" s="2"/>
      <c r="L57" s="2" t="s">
        <v>1593</v>
      </c>
      <c r="M57" s="2"/>
      <c r="N57" s="2" t="s">
        <v>1738</v>
      </c>
    </row>
    <row r="58">
      <c r="A58" s="2">
        <v>57</v>
      </c>
      <c r="B58" s="2" t="s">
        <v>24</v>
      </c>
      <c r="C58" s="2" t="s">
        <v>41</v>
      </c>
      <c r="D58" s="2" t="s">
        <v>394</v>
      </c>
      <c r="E58" s="2" t="s">
        <v>1739</v>
      </c>
      <c r="F58" s="2" t="s">
        <v>397</v>
      </c>
      <c r="G58" s="2" t="s">
        <v>1596</v>
      </c>
      <c r="H58" s="2" t="s">
        <v>398</v>
      </c>
      <c r="I58" s="2" t="s">
        <v>399</v>
      </c>
      <c r="J58" s="2" t="s">
        <v>2287</v>
      </c>
      <c r="K58" s="2" t="s">
        <v>2288</v>
      </c>
      <c r="L58" s="2" t="s">
        <v>1593</v>
      </c>
      <c r="M58" s="2"/>
      <c r="N58" s="2" t="s">
        <v>1740</v>
      </c>
    </row>
    <row r="59">
      <c r="A59" s="2">
        <v>58</v>
      </c>
      <c r="B59" s="2" t="s">
        <v>24</v>
      </c>
      <c r="C59" s="2" t="s">
        <v>56</v>
      </c>
      <c r="D59" s="2" t="s">
        <v>400</v>
      </c>
      <c r="E59" s="2" t="s">
        <v>1741</v>
      </c>
      <c r="F59" s="2" t="s">
        <v>404</v>
      </c>
      <c r="G59" s="2" t="s">
        <v>1742</v>
      </c>
      <c r="H59" s="2" t="s">
        <v>405</v>
      </c>
      <c r="I59" s="2" t="s">
        <v>406</v>
      </c>
      <c r="J59" s="2" t="s">
        <v>2289</v>
      </c>
      <c r="K59" s="2" t="s">
        <v>2290</v>
      </c>
      <c r="L59" s="2" t="s">
        <v>1593</v>
      </c>
      <c r="M59" s="2" t="s">
        <v>145</v>
      </c>
      <c r="N59" s="2" t="s">
        <v>1743</v>
      </c>
    </row>
    <row r="60">
      <c r="A60" s="2">
        <v>59</v>
      </c>
      <c r="B60" s="2" t="s">
        <v>24</v>
      </c>
      <c r="C60" s="2" t="s">
        <v>117</v>
      </c>
      <c r="D60" s="2" t="s">
        <v>407</v>
      </c>
      <c r="E60" s="2" t="s">
        <v>1744</v>
      </c>
      <c r="F60" s="2" t="s">
        <v>344</v>
      </c>
      <c r="G60" s="2" t="s">
        <v>1745</v>
      </c>
      <c r="H60" s="2" t="s">
        <v>410</v>
      </c>
      <c r="I60" s="2" t="s">
        <v>411</v>
      </c>
      <c r="J60" s="2" t="s">
        <v>2291</v>
      </c>
      <c r="K60" s="2" t="s">
        <v>2292</v>
      </c>
      <c r="L60" s="2" t="s">
        <v>1593</v>
      </c>
      <c r="M60" s="2"/>
      <c r="N60" s="2" t="s">
        <v>1746</v>
      </c>
    </row>
    <row r="61">
      <c r="A61" s="2">
        <v>60</v>
      </c>
      <c r="B61" s="2" t="s">
        <v>24</v>
      </c>
      <c r="C61" s="2" t="s">
        <v>41</v>
      </c>
      <c r="D61" s="2" t="s">
        <v>412</v>
      </c>
      <c r="E61" s="2" t="s">
        <v>1747</v>
      </c>
      <c r="F61" s="2" t="s">
        <v>414</v>
      </c>
      <c r="G61" s="2" t="s">
        <v>1596</v>
      </c>
      <c r="H61" s="2" t="s">
        <v>415</v>
      </c>
      <c r="I61" s="2" t="s">
        <v>416</v>
      </c>
      <c r="J61" s="2" t="s">
        <v>2293</v>
      </c>
      <c r="K61" s="2"/>
      <c r="L61" s="2" t="s">
        <v>1593</v>
      </c>
      <c r="M61" s="2"/>
      <c r="N61" s="2" t="s">
        <v>1748</v>
      </c>
    </row>
    <row r="62">
      <c r="A62" s="2">
        <v>61</v>
      </c>
      <c r="B62" s="2" t="s">
        <v>24</v>
      </c>
      <c r="C62" s="2" t="s">
        <v>41</v>
      </c>
      <c r="D62" s="2" t="s">
        <v>417</v>
      </c>
      <c r="E62" s="2" t="s">
        <v>1749</v>
      </c>
      <c r="F62" s="2" t="s">
        <v>418</v>
      </c>
      <c r="G62" s="2" t="s">
        <v>1596</v>
      </c>
      <c r="H62" s="2" t="s">
        <v>419</v>
      </c>
      <c r="I62" s="2" t="s">
        <v>420</v>
      </c>
      <c r="J62" s="2" t="s">
        <v>2294</v>
      </c>
      <c r="K62" s="2" t="s">
        <v>2295</v>
      </c>
      <c r="L62" s="2" t="s">
        <v>1593</v>
      </c>
      <c r="M62" s="2"/>
      <c r="N62" s="2" t="s">
        <v>1750</v>
      </c>
    </row>
    <row r="63">
      <c r="A63" s="2">
        <v>62</v>
      </c>
      <c r="B63" s="2" t="s">
        <v>24</v>
      </c>
      <c r="C63" s="2" t="s">
        <v>117</v>
      </c>
      <c r="D63" s="2" t="s">
        <v>421</v>
      </c>
      <c r="E63" s="2" t="s">
        <v>1751</v>
      </c>
      <c r="F63" s="2" t="s">
        <v>422</v>
      </c>
      <c r="G63" s="2" t="s">
        <v>1662</v>
      </c>
      <c r="H63" s="2" t="s">
        <v>423</v>
      </c>
      <c r="I63" s="2" t="s">
        <v>424</v>
      </c>
      <c r="J63" s="2" t="s">
        <v>2296</v>
      </c>
      <c r="K63" s="2" t="s">
        <v>2297</v>
      </c>
      <c r="L63" s="2" t="s">
        <v>1593</v>
      </c>
      <c r="M63" s="2" t="s">
        <v>81</v>
      </c>
      <c r="N63" s="2" t="s">
        <v>1752</v>
      </c>
    </row>
    <row r="64">
      <c r="A64" s="2">
        <v>63</v>
      </c>
      <c r="B64" s="2" t="s">
        <v>24</v>
      </c>
      <c r="C64" s="2" t="s">
        <v>22</v>
      </c>
      <c r="D64" s="2" t="s">
        <v>425</v>
      </c>
      <c r="E64" s="2" t="s">
        <v>1753</v>
      </c>
      <c r="F64" s="2" t="s">
        <v>135</v>
      </c>
      <c r="G64" s="2" t="s">
        <v>1745</v>
      </c>
      <c r="H64" s="2" t="s">
        <v>427</v>
      </c>
      <c r="I64" s="2" t="s">
        <v>428</v>
      </c>
      <c r="J64" s="2" t="s">
        <v>2298</v>
      </c>
      <c r="K64" s="2" t="s">
        <v>2299</v>
      </c>
      <c r="L64" s="2" t="s">
        <v>1593</v>
      </c>
      <c r="M64" s="2"/>
      <c r="N64" s="2" t="s">
        <v>1754</v>
      </c>
    </row>
    <row r="65">
      <c r="A65" s="2">
        <v>64</v>
      </c>
      <c r="B65" s="2" t="s">
        <v>24</v>
      </c>
      <c r="C65" s="2" t="s">
        <v>82</v>
      </c>
      <c r="D65" s="2" t="s">
        <v>429</v>
      </c>
      <c r="E65" s="2" t="s">
        <v>1755</v>
      </c>
      <c r="F65" s="2" t="s">
        <v>207</v>
      </c>
      <c r="G65" s="2" t="s">
        <v>1652</v>
      </c>
      <c r="H65" s="2" t="s">
        <v>432</v>
      </c>
      <c r="I65" s="2" t="s">
        <v>433</v>
      </c>
      <c r="J65" s="2" t="s">
        <v>2300</v>
      </c>
      <c r="K65" s="2" t="s">
        <v>2301</v>
      </c>
      <c r="L65" s="2" t="s">
        <v>1593</v>
      </c>
      <c r="M65" s="2"/>
      <c r="N65" s="2" t="s">
        <v>1756</v>
      </c>
    </row>
    <row r="66">
      <c r="A66" s="2">
        <v>65</v>
      </c>
      <c r="B66" s="2" t="s">
        <v>24</v>
      </c>
      <c r="C66" s="2" t="s">
        <v>192</v>
      </c>
      <c r="D66" s="2" t="s">
        <v>434</v>
      </c>
      <c r="E66" s="2" t="s">
        <v>1757</v>
      </c>
      <c r="F66" s="2" t="s">
        <v>436</v>
      </c>
      <c r="G66" s="2" t="s">
        <v>1644</v>
      </c>
      <c r="H66" s="2" t="s">
        <v>437</v>
      </c>
      <c r="I66" s="2" t="s">
        <v>438</v>
      </c>
      <c r="J66" s="2" t="s">
        <v>2302</v>
      </c>
      <c r="K66" s="2"/>
      <c r="L66" s="2" t="s">
        <v>1597</v>
      </c>
      <c r="M66" s="2"/>
      <c r="N66" s="2" t="s">
        <v>1758</v>
      </c>
    </row>
    <row r="67">
      <c r="A67" s="2">
        <v>66</v>
      </c>
      <c r="B67" s="2" t="s">
        <v>24</v>
      </c>
      <c r="C67" s="2" t="s">
        <v>192</v>
      </c>
      <c r="D67" s="2" t="s">
        <v>439</v>
      </c>
      <c r="E67" s="2" t="s">
        <v>1759</v>
      </c>
      <c r="F67" s="2" t="s">
        <v>441</v>
      </c>
      <c r="G67" s="2" t="s">
        <v>1760</v>
      </c>
      <c r="H67" s="2" t="s">
        <v>442</v>
      </c>
      <c r="I67" s="2" t="s">
        <v>443</v>
      </c>
      <c r="J67" s="2" t="s">
        <v>2303</v>
      </c>
      <c r="K67" s="2" t="s">
        <v>2304</v>
      </c>
      <c r="L67" s="2" t="s">
        <v>1593</v>
      </c>
      <c r="M67" s="2" t="s">
        <v>81</v>
      </c>
      <c r="N67" s="2" t="s">
        <v>1761</v>
      </c>
    </row>
    <row r="68">
      <c r="A68" s="2">
        <v>67</v>
      </c>
      <c r="B68" s="2" t="s">
        <v>24</v>
      </c>
      <c r="C68" s="2" t="s">
        <v>444</v>
      </c>
      <c r="D68" s="2" t="s">
        <v>445</v>
      </c>
      <c r="E68" s="2" t="s">
        <v>1762</v>
      </c>
      <c r="F68" s="2" t="s">
        <v>448</v>
      </c>
      <c r="G68" s="2" t="s">
        <v>1763</v>
      </c>
      <c r="H68" s="2" t="s">
        <v>449</v>
      </c>
      <c r="I68" s="2" t="s">
        <v>450</v>
      </c>
      <c r="J68" s="2" t="s">
        <v>2305</v>
      </c>
      <c r="K68" s="2" t="s">
        <v>2306</v>
      </c>
      <c r="L68" s="2" t="s">
        <v>1593</v>
      </c>
      <c r="M68" s="2"/>
      <c r="N68" s="2" t="s">
        <v>1764</v>
      </c>
    </row>
    <row r="69">
      <c r="A69" s="2">
        <v>68</v>
      </c>
      <c r="B69" s="2" t="s">
        <v>24</v>
      </c>
      <c r="C69" s="2" t="s">
        <v>41</v>
      </c>
      <c r="D69" s="2" t="s">
        <v>451</v>
      </c>
      <c r="E69" s="2" t="s">
        <v>1765</v>
      </c>
      <c r="F69" s="2" t="s">
        <v>454</v>
      </c>
      <c r="G69" s="2" t="s">
        <v>1596</v>
      </c>
      <c r="H69" s="2" t="s">
        <v>455</v>
      </c>
      <c r="I69" s="2" t="s">
        <v>456</v>
      </c>
      <c r="J69" s="2" t="s">
        <v>2307</v>
      </c>
      <c r="K69" s="2" t="s">
        <v>2308</v>
      </c>
      <c r="L69" s="2" t="s">
        <v>1593</v>
      </c>
      <c r="M69" s="2" t="s">
        <v>191</v>
      </c>
      <c r="N69" s="2" t="s">
        <v>1766</v>
      </c>
    </row>
    <row r="70">
      <c r="A70" s="2">
        <v>69</v>
      </c>
      <c r="B70" s="2" t="s">
        <v>43</v>
      </c>
      <c r="C70" s="2" t="s">
        <v>110</v>
      </c>
      <c r="D70" s="2" t="s">
        <v>457</v>
      </c>
      <c r="E70" s="2" t="s">
        <v>1767</v>
      </c>
      <c r="F70" s="2" t="s">
        <v>249</v>
      </c>
      <c r="G70" s="2" t="s">
        <v>1768</v>
      </c>
      <c r="H70" s="2" t="s">
        <v>461</v>
      </c>
      <c r="I70" s="2" t="s">
        <v>462</v>
      </c>
      <c r="J70" s="2" t="s">
        <v>2309</v>
      </c>
      <c r="K70" s="2" t="s">
        <v>2310</v>
      </c>
      <c r="L70" s="2" t="s">
        <v>1597</v>
      </c>
      <c r="M70" s="2"/>
      <c r="N70" s="2" t="s">
        <v>1769</v>
      </c>
    </row>
    <row r="71">
      <c r="A71" s="2">
        <v>70</v>
      </c>
      <c r="B71" s="2" t="s">
        <v>24</v>
      </c>
      <c r="C71" s="2" t="s">
        <v>239</v>
      </c>
      <c r="D71" s="2" t="s">
        <v>463</v>
      </c>
      <c r="E71" s="2" t="s">
        <v>1770</v>
      </c>
      <c r="F71" s="2" t="s">
        <v>464</v>
      </c>
      <c r="G71" s="2" t="s">
        <v>1667</v>
      </c>
      <c r="H71" s="2" t="s">
        <v>465</v>
      </c>
      <c r="I71" s="2" t="s">
        <v>466</v>
      </c>
      <c r="J71" s="2" t="s">
        <v>2311</v>
      </c>
      <c r="K71" s="2"/>
      <c r="L71" s="2" t="s">
        <v>1593</v>
      </c>
      <c r="M71" s="2" t="s">
        <v>81</v>
      </c>
      <c r="N71" s="2" t="s">
        <v>1771</v>
      </c>
    </row>
    <row r="72">
      <c r="A72" s="2">
        <v>71</v>
      </c>
      <c r="B72" s="2" t="s">
        <v>24</v>
      </c>
      <c r="C72" s="2" t="s">
        <v>41</v>
      </c>
      <c r="D72" s="2" t="s">
        <v>467</v>
      </c>
      <c r="E72" s="2" t="s">
        <v>1772</v>
      </c>
      <c r="F72" s="2" t="s">
        <v>107</v>
      </c>
      <c r="G72" s="2" t="s">
        <v>1596</v>
      </c>
      <c r="H72" s="2" t="s">
        <v>470</v>
      </c>
      <c r="I72" s="2" t="s">
        <v>471</v>
      </c>
      <c r="J72" s="2" t="s">
        <v>2312</v>
      </c>
      <c r="K72" s="2" t="s">
        <v>2313</v>
      </c>
      <c r="L72" s="2" t="s">
        <v>1593</v>
      </c>
      <c r="M72" s="2"/>
      <c r="N72" s="2" t="s">
        <v>1773</v>
      </c>
    </row>
    <row r="73">
      <c r="A73" s="2">
        <v>72</v>
      </c>
      <c r="B73" s="2" t="s">
        <v>24</v>
      </c>
      <c r="C73" s="2" t="s">
        <v>239</v>
      </c>
      <c r="D73" s="2" t="s">
        <v>472</v>
      </c>
      <c r="E73" s="2" t="s">
        <v>1774</v>
      </c>
      <c r="F73" s="2" t="s">
        <v>473</v>
      </c>
      <c r="G73" s="2" t="s">
        <v>1775</v>
      </c>
      <c r="H73" s="2" t="s">
        <v>474</v>
      </c>
      <c r="I73" s="2" t="s">
        <v>475</v>
      </c>
      <c r="J73" s="2" t="s">
        <v>2314</v>
      </c>
      <c r="K73" s="2"/>
      <c r="L73" s="2" t="s">
        <v>1593</v>
      </c>
      <c r="M73" s="2" t="s">
        <v>81</v>
      </c>
      <c r="N73" s="2" t="s">
        <v>1776</v>
      </c>
    </row>
    <row r="74">
      <c r="A74" s="2">
        <v>73</v>
      </c>
      <c r="B74" s="2" t="s">
        <v>24</v>
      </c>
      <c r="C74" s="2" t="s">
        <v>476</v>
      </c>
      <c r="D74" s="2" t="s">
        <v>477</v>
      </c>
      <c r="E74" s="2" t="s">
        <v>1777</v>
      </c>
      <c r="F74" s="2" t="s">
        <v>479</v>
      </c>
      <c r="G74" s="2" t="s">
        <v>1622</v>
      </c>
      <c r="H74" s="2" t="s">
        <v>480</v>
      </c>
      <c r="I74" s="2" t="s">
        <v>481</v>
      </c>
      <c r="J74" s="2"/>
      <c r="K74" s="2" t="s">
        <v>2315</v>
      </c>
      <c r="L74" s="2" t="s">
        <v>1593</v>
      </c>
      <c r="M74" s="2"/>
      <c r="N74" s="2" t="s">
        <v>1778</v>
      </c>
    </row>
    <row r="75">
      <c r="A75" s="2">
        <v>74</v>
      </c>
      <c r="B75" s="2" t="s">
        <v>43</v>
      </c>
      <c r="C75" s="2" t="s">
        <v>82</v>
      </c>
      <c r="D75" s="2" t="s">
        <v>482</v>
      </c>
      <c r="E75" s="2" t="s">
        <v>1779</v>
      </c>
      <c r="F75" s="2" t="s">
        <v>172</v>
      </c>
      <c r="G75" s="2" t="s">
        <v>1780</v>
      </c>
      <c r="H75" s="2" t="s">
        <v>485</v>
      </c>
      <c r="I75" s="2" t="s">
        <v>486</v>
      </c>
      <c r="J75" s="2"/>
      <c r="K75" s="2"/>
      <c r="L75" s="2" t="s">
        <v>1593</v>
      </c>
      <c r="M75" s="2" t="s">
        <v>81</v>
      </c>
      <c r="N75" s="2" t="s">
        <v>1781</v>
      </c>
    </row>
    <row r="76">
      <c r="A76" s="2">
        <v>75</v>
      </c>
      <c r="B76" s="2" t="s">
        <v>24</v>
      </c>
      <c r="C76" s="2" t="s">
        <v>82</v>
      </c>
      <c r="D76" s="2" t="s">
        <v>487</v>
      </c>
      <c r="E76" s="2" t="s">
        <v>1782</v>
      </c>
      <c r="F76" s="2" t="s">
        <v>107</v>
      </c>
      <c r="G76" s="2" t="s">
        <v>1662</v>
      </c>
      <c r="H76" s="2" t="s">
        <v>491</v>
      </c>
      <c r="I76" s="2" t="s">
        <v>492</v>
      </c>
      <c r="J76" s="2" t="s">
        <v>2316</v>
      </c>
      <c r="K76" s="2" t="s">
        <v>2317</v>
      </c>
      <c r="L76" s="2" t="s">
        <v>1593</v>
      </c>
      <c r="M76" s="2"/>
      <c r="N76" s="2" t="s">
        <v>1783</v>
      </c>
    </row>
    <row r="77">
      <c r="A77" s="2">
        <v>76</v>
      </c>
      <c r="B77" s="2" t="s">
        <v>24</v>
      </c>
      <c r="C77" s="2" t="s">
        <v>82</v>
      </c>
      <c r="D77" s="2" t="s">
        <v>493</v>
      </c>
      <c r="E77" s="2" t="s">
        <v>1784</v>
      </c>
      <c r="F77" s="2" t="s">
        <v>418</v>
      </c>
      <c r="G77" s="2" t="s">
        <v>1715</v>
      </c>
      <c r="H77" s="2" t="s">
        <v>495</v>
      </c>
      <c r="I77" s="2" t="s">
        <v>496</v>
      </c>
      <c r="J77" s="2" t="s">
        <v>2318</v>
      </c>
      <c r="K77" s="2" t="s">
        <v>2319</v>
      </c>
      <c r="L77" s="2" t="s">
        <v>1593</v>
      </c>
      <c r="M77" s="2"/>
      <c r="N77" s="2" t="s">
        <v>1785</v>
      </c>
    </row>
    <row r="78">
      <c r="A78" s="2">
        <v>77</v>
      </c>
      <c r="B78" s="2" t="s">
        <v>24</v>
      </c>
      <c r="C78" s="2" t="s">
        <v>110</v>
      </c>
      <c r="D78" s="2" t="s">
        <v>497</v>
      </c>
      <c r="E78" s="2" t="s">
        <v>1786</v>
      </c>
      <c r="F78" s="2" t="s">
        <v>249</v>
      </c>
      <c r="G78" s="2" t="s">
        <v>1606</v>
      </c>
      <c r="H78" s="2" t="s">
        <v>499</v>
      </c>
      <c r="I78" s="2" t="s">
        <v>500</v>
      </c>
      <c r="J78" s="2" t="s">
        <v>2320</v>
      </c>
      <c r="K78" s="2" t="s">
        <v>2321</v>
      </c>
      <c r="L78" s="2" t="s">
        <v>1597</v>
      </c>
      <c r="M78" s="2"/>
      <c r="N78" s="2" t="s">
        <v>1787</v>
      </c>
    </row>
    <row r="79">
      <c r="A79" s="2">
        <v>78</v>
      </c>
      <c r="B79" s="2" t="s">
        <v>24</v>
      </c>
      <c r="C79" s="2" t="s">
        <v>110</v>
      </c>
      <c r="D79" s="2" t="s">
        <v>501</v>
      </c>
      <c r="E79" s="2" t="s">
        <v>1788</v>
      </c>
      <c r="F79" s="2" t="s">
        <v>502</v>
      </c>
      <c r="G79" s="2" t="s">
        <v>1606</v>
      </c>
      <c r="H79" s="2" t="s">
        <v>503</v>
      </c>
      <c r="I79" s="2" t="s">
        <v>504</v>
      </c>
      <c r="J79" s="2" t="s">
        <v>2322</v>
      </c>
      <c r="K79" s="2" t="s">
        <v>2323</v>
      </c>
      <c r="L79" s="2" t="s">
        <v>1619</v>
      </c>
      <c r="M79" s="2"/>
      <c r="N79" s="2" t="s">
        <v>1789</v>
      </c>
    </row>
    <row r="80">
      <c r="A80" s="2">
        <v>79</v>
      </c>
      <c r="B80" s="2" t="s">
        <v>24</v>
      </c>
      <c r="C80" s="2" t="s">
        <v>82</v>
      </c>
      <c r="D80" s="2" t="s">
        <v>505</v>
      </c>
      <c r="E80" s="2" t="s">
        <v>1790</v>
      </c>
      <c r="F80" s="2" t="s">
        <v>107</v>
      </c>
      <c r="G80" s="2" t="s">
        <v>1791</v>
      </c>
      <c r="H80" s="2" t="s">
        <v>507</v>
      </c>
      <c r="I80" s="2" t="s">
        <v>508</v>
      </c>
      <c r="J80" s="2" t="s">
        <v>2324</v>
      </c>
      <c r="K80" s="2" t="s">
        <v>2325</v>
      </c>
      <c r="L80" s="2" t="s">
        <v>1593</v>
      </c>
      <c r="M80" s="2"/>
      <c r="N80" s="2" t="s">
        <v>1792</v>
      </c>
    </row>
    <row r="81">
      <c r="A81" s="2">
        <v>80</v>
      </c>
      <c r="B81" s="2" t="s">
        <v>24</v>
      </c>
      <c r="C81" s="2" t="s">
        <v>41</v>
      </c>
      <c r="D81" s="2" t="s">
        <v>509</v>
      </c>
      <c r="E81" s="2" t="s">
        <v>1793</v>
      </c>
      <c r="F81" s="2" t="s">
        <v>344</v>
      </c>
      <c r="G81" s="2" t="s">
        <v>1596</v>
      </c>
      <c r="H81" s="2" t="s">
        <v>512</v>
      </c>
      <c r="I81" s="2" t="s">
        <v>513</v>
      </c>
      <c r="J81" s="2" t="s">
        <v>2326</v>
      </c>
      <c r="K81" s="2" t="s">
        <v>2327</v>
      </c>
      <c r="L81" s="2" t="s">
        <v>1593</v>
      </c>
      <c r="M81" s="2" t="s">
        <v>191</v>
      </c>
      <c r="N81" s="2" t="s">
        <v>1794</v>
      </c>
    </row>
    <row r="82">
      <c r="A82" s="2">
        <v>81</v>
      </c>
      <c r="B82" s="2" t="s">
        <v>24</v>
      </c>
      <c r="C82" s="2" t="s">
        <v>41</v>
      </c>
      <c r="D82" s="2" t="s">
        <v>514</v>
      </c>
      <c r="E82" s="2" t="s">
        <v>1795</v>
      </c>
      <c r="F82" s="2" t="s">
        <v>253</v>
      </c>
      <c r="G82" s="2" t="s">
        <v>1662</v>
      </c>
      <c r="H82" s="2" t="s">
        <v>517</v>
      </c>
      <c r="I82" s="2" t="s">
        <v>518</v>
      </c>
      <c r="J82" s="2" t="s">
        <v>2328</v>
      </c>
      <c r="K82" s="2" t="s">
        <v>2329</v>
      </c>
      <c r="L82" s="2" t="s">
        <v>1593</v>
      </c>
      <c r="M82" s="2"/>
      <c r="N82" s="2" t="s">
        <v>1796</v>
      </c>
    </row>
    <row r="83">
      <c r="A83" s="2">
        <v>82</v>
      </c>
      <c r="B83" s="2" t="s">
        <v>43</v>
      </c>
      <c r="C83" s="2" t="s">
        <v>110</v>
      </c>
      <c r="D83" s="2" t="s">
        <v>519</v>
      </c>
      <c r="E83" s="2" t="s">
        <v>1797</v>
      </c>
      <c r="F83" s="2" t="s">
        <v>249</v>
      </c>
      <c r="G83" s="2" t="s">
        <v>1723</v>
      </c>
      <c r="H83" s="2" t="s">
        <v>520</v>
      </c>
      <c r="I83" s="2" t="s">
        <v>521</v>
      </c>
      <c r="J83" s="2" t="s">
        <v>2330</v>
      </c>
      <c r="K83" s="2" t="s">
        <v>2331</v>
      </c>
      <c r="L83" s="2" t="s">
        <v>1597</v>
      </c>
      <c r="M83" s="2"/>
      <c r="N83" s="2" t="s">
        <v>1798</v>
      </c>
    </row>
    <row r="84">
      <c r="A84" s="2">
        <v>83</v>
      </c>
      <c r="B84" s="2" t="s">
        <v>24</v>
      </c>
      <c r="C84" s="2" t="s">
        <v>117</v>
      </c>
      <c r="D84" s="2" t="s">
        <v>522</v>
      </c>
      <c r="E84" s="2" t="s">
        <v>1799</v>
      </c>
      <c r="F84" s="2" t="s">
        <v>231</v>
      </c>
      <c r="G84" s="2" t="s">
        <v>1733</v>
      </c>
      <c r="H84" s="2" t="s">
        <v>524</v>
      </c>
      <c r="I84" s="2" t="s">
        <v>525</v>
      </c>
      <c r="J84" s="2" t="s">
        <v>2332</v>
      </c>
      <c r="K84" s="2" t="s">
        <v>2333</v>
      </c>
      <c r="L84" s="2" t="s">
        <v>1593</v>
      </c>
      <c r="M84" s="2"/>
      <c r="N84" s="2" t="s">
        <v>1800</v>
      </c>
    </row>
    <row r="85">
      <c r="A85" s="2">
        <v>84</v>
      </c>
      <c r="B85" s="2" t="s">
        <v>24</v>
      </c>
      <c r="C85" s="2" t="s">
        <v>239</v>
      </c>
      <c r="D85" s="2" t="s">
        <v>526</v>
      </c>
      <c r="E85" s="2" t="s">
        <v>1801</v>
      </c>
      <c r="F85" s="2" t="s">
        <v>128</v>
      </c>
      <c r="G85" s="2" t="s">
        <v>1704</v>
      </c>
      <c r="H85" s="2" t="s">
        <v>530</v>
      </c>
      <c r="I85" s="2" t="s">
        <v>531</v>
      </c>
      <c r="J85" s="2" t="s">
        <v>2334</v>
      </c>
      <c r="K85" s="2" t="s">
        <v>2335</v>
      </c>
      <c r="L85" s="2" t="s">
        <v>1593</v>
      </c>
      <c r="M85" s="2" t="s">
        <v>197</v>
      </c>
      <c r="N85" s="2" t="s">
        <v>1802</v>
      </c>
    </row>
    <row r="86">
      <c r="A86" s="2">
        <v>85</v>
      </c>
      <c r="B86" s="2" t="s">
        <v>24</v>
      </c>
      <c r="C86" s="2" t="s">
        <v>110</v>
      </c>
      <c r="D86" s="2" t="s">
        <v>532</v>
      </c>
      <c r="E86" s="2" t="s">
        <v>1803</v>
      </c>
      <c r="F86" s="2" t="s">
        <v>536</v>
      </c>
      <c r="G86" s="2" t="s">
        <v>1804</v>
      </c>
      <c r="H86" s="2" t="s">
        <v>537</v>
      </c>
      <c r="I86" s="2" t="s">
        <v>538</v>
      </c>
      <c r="J86" s="2" t="s">
        <v>2336</v>
      </c>
      <c r="K86" s="2" t="s">
        <v>2337</v>
      </c>
      <c r="L86" s="2" t="s">
        <v>1593</v>
      </c>
      <c r="M86" s="2"/>
      <c r="N86" s="2" t="s">
        <v>1805</v>
      </c>
    </row>
    <row r="87">
      <c r="A87" s="2">
        <v>86</v>
      </c>
      <c r="B87" s="2" t="s">
        <v>24</v>
      </c>
      <c r="C87" s="2" t="s">
        <v>22</v>
      </c>
      <c r="D87" s="2" t="s">
        <v>539</v>
      </c>
      <c r="E87" s="2" t="s">
        <v>1806</v>
      </c>
      <c r="F87" s="2" t="s">
        <v>540</v>
      </c>
      <c r="G87" s="2" t="s">
        <v>1807</v>
      </c>
      <c r="H87" s="2" t="s">
        <v>541</v>
      </c>
      <c r="I87" s="2" t="s">
        <v>542</v>
      </c>
      <c r="J87" s="2" t="s">
        <v>2338</v>
      </c>
      <c r="K87" s="2"/>
      <c r="L87" s="2" t="s">
        <v>1593</v>
      </c>
      <c r="M87" s="2" t="s">
        <v>81</v>
      </c>
      <c r="N87" s="2" t="s">
        <v>1808</v>
      </c>
    </row>
    <row r="88">
      <c r="A88" s="2">
        <v>87</v>
      </c>
      <c r="B88" s="2" t="s">
        <v>24</v>
      </c>
      <c r="C88" s="2" t="s">
        <v>41</v>
      </c>
      <c r="D88" s="2" t="s">
        <v>543</v>
      </c>
      <c r="E88" s="2" t="s">
        <v>1809</v>
      </c>
      <c r="F88" s="2" t="s">
        <v>547</v>
      </c>
      <c r="G88" s="2" t="s">
        <v>1675</v>
      </c>
      <c r="H88" s="2" t="s">
        <v>548</v>
      </c>
      <c r="I88" s="2" t="s">
        <v>549</v>
      </c>
      <c r="J88" s="2" t="s">
        <v>2339</v>
      </c>
      <c r="K88" s="2" t="s">
        <v>2340</v>
      </c>
      <c r="L88" s="2" t="s">
        <v>1593</v>
      </c>
      <c r="M88" s="2"/>
      <c r="N88" s="2" t="s">
        <v>1810</v>
      </c>
    </row>
    <row r="89">
      <c r="A89" s="2">
        <v>88</v>
      </c>
      <c r="B89" s="2" t="s">
        <v>24</v>
      </c>
      <c r="C89" s="2" t="s">
        <v>82</v>
      </c>
      <c r="D89" s="2" t="s">
        <v>550</v>
      </c>
      <c r="E89" s="2" t="s">
        <v>1811</v>
      </c>
      <c r="F89" s="2" t="s">
        <v>78</v>
      </c>
      <c r="G89" s="2" t="s">
        <v>1600</v>
      </c>
      <c r="H89" s="2" t="s">
        <v>553</v>
      </c>
      <c r="I89" s="2" t="s">
        <v>554</v>
      </c>
      <c r="J89" s="2"/>
      <c r="K89" s="2" t="s">
        <v>2341</v>
      </c>
      <c r="L89" s="2" t="s">
        <v>1593</v>
      </c>
      <c r="M89" s="2" t="s">
        <v>81</v>
      </c>
      <c r="N89" s="2" t="s">
        <v>1812</v>
      </c>
    </row>
    <row r="90">
      <c r="A90" s="2">
        <v>89</v>
      </c>
      <c r="B90" s="2" t="s">
        <v>24</v>
      </c>
      <c r="C90" s="2" t="s">
        <v>56</v>
      </c>
      <c r="D90" s="2" t="s">
        <v>555</v>
      </c>
      <c r="E90" s="2" t="s">
        <v>1813</v>
      </c>
      <c r="F90" s="2" t="s">
        <v>556</v>
      </c>
      <c r="G90" s="2" t="s">
        <v>1814</v>
      </c>
      <c r="H90" s="2" t="s">
        <v>557</v>
      </c>
      <c r="I90" s="2" t="s">
        <v>558</v>
      </c>
      <c r="J90" s="2"/>
      <c r="K90" s="2" t="s">
        <v>2342</v>
      </c>
      <c r="L90" s="2" t="s">
        <v>1593</v>
      </c>
      <c r="M90" s="2" t="s">
        <v>81</v>
      </c>
      <c r="N90" s="2" t="s">
        <v>1815</v>
      </c>
    </row>
    <row r="91">
      <c r="A91" s="2">
        <v>90</v>
      </c>
      <c r="B91" s="2" t="s">
        <v>24</v>
      </c>
      <c r="C91" s="2" t="s">
        <v>192</v>
      </c>
      <c r="D91" s="2" t="s">
        <v>559</v>
      </c>
      <c r="E91" s="2" t="s">
        <v>1816</v>
      </c>
      <c r="F91" s="2" t="s">
        <v>418</v>
      </c>
      <c r="G91" s="2" t="s">
        <v>1622</v>
      </c>
      <c r="H91" s="2" t="s">
        <v>561</v>
      </c>
      <c r="I91" s="2" t="s">
        <v>562</v>
      </c>
      <c r="J91" s="2" t="s">
        <v>2343</v>
      </c>
      <c r="K91" s="2" t="s">
        <v>2344</v>
      </c>
      <c r="L91" s="2" t="s">
        <v>1593</v>
      </c>
      <c r="M91" s="2" t="s">
        <v>563</v>
      </c>
      <c r="N91" s="2" t="s">
        <v>1817</v>
      </c>
    </row>
    <row r="92">
      <c r="A92" s="2">
        <v>91</v>
      </c>
      <c r="B92" s="2" t="s">
        <v>43</v>
      </c>
      <c r="C92" s="2" t="s">
        <v>117</v>
      </c>
      <c r="D92" s="2" t="s">
        <v>564</v>
      </c>
      <c r="E92" s="2" t="s">
        <v>1818</v>
      </c>
      <c r="F92" s="2" t="s">
        <v>567</v>
      </c>
      <c r="G92" s="2" t="s">
        <v>1606</v>
      </c>
      <c r="H92" s="2" t="s">
        <v>568</v>
      </c>
      <c r="I92" s="2" t="s">
        <v>569</v>
      </c>
      <c r="J92" s="2" t="s">
        <v>2345</v>
      </c>
      <c r="K92" s="2" t="s">
        <v>2346</v>
      </c>
      <c r="L92" s="2" t="s">
        <v>1619</v>
      </c>
      <c r="M92" s="2" t="s">
        <v>145</v>
      </c>
      <c r="N92" s="2" t="s">
        <v>1819</v>
      </c>
    </row>
    <row r="93">
      <c r="A93" s="2">
        <v>92</v>
      </c>
      <c r="B93" s="2" t="s">
        <v>572</v>
      </c>
      <c r="C93" s="2" t="s">
        <v>570</v>
      </c>
      <c r="D93" s="2" t="s">
        <v>571</v>
      </c>
      <c r="E93" s="2" t="s">
        <v>1820</v>
      </c>
      <c r="F93" s="2" t="s">
        <v>576</v>
      </c>
      <c r="G93" s="2" t="s">
        <v>1821</v>
      </c>
      <c r="H93" s="2" t="s">
        <v>577</v>
      </c>
      <c r="I93" s="2" t="s">
        <v>578</v>
      </c>
      <c r="J93" s="2"/>
      <c r="K93" s="2" t="s">
        <v>2347</v>
      </c>
      <c r="L93" s="2" t="s">
        <v>1593</v>
      </c>
      <c r="M93" s="2"/>
      <c r="N93" s="2" t="s">
        <v>1822</v>
      </c>
    </row>
    <row r="94">
      <c r="A94" s="2">
        <v>93</v>
      </c>
      <c r="B94" s="2" t="s">
        <v>572</v>
      </c>
      <c r="C94" s="2" t="s">
        <v>239</v>
      </c>
      <c r="D94" s="2" t="s">
        <v>579</v>
      </c>
      <c r="E94" s="2" t="s">
        <v>1823</v>
      </c>
      <c r="F94" s="2" t="s">
        <v>582</v>
      </c>
      <c r="G94" s="2" t="s">
        <v>1824</v>
      </c>
      <c r="H94" s="2" t="s">
        <v>583</v>
      </c>
      <c r="I94" s="2" t="s">
        <v>584</v>
      </c>
      <c r="J94" s="2" t="s">
        <v>2348</v>
      </c>
      <c r="K94" s="2" t="s">
        <v>2349</v>
      </c>
      <c r="L94" s="2" t="s">
        <v>1593</v>
      </c>
      <c r="M94" s="2" t="s">
        <v>197</v>
      </c>
      <c r="N94" s="2" t="s">
        <v>1825</v>
      </c>
    </row>
    <row r="95">
      <c r="A95" s="2">
        <v>94</v>
      </c>
      <c r="B95" s="2" t="s">
        <v>572</v>
      </c>
      <c r="C95" s="2" t="s">
        <v>239</v>
      </c>
      <c r="D95" s="2" t="s">
        <v>585</v>
      </c>
      <c r="E95" s="2" t="s">
        <v>1826</v>
      </c>
      <c r="F95" s="2" t="s">
        <v>586</v>
      </c>
      <c r="G95" s="2" t="s">
        <v>1667</v>
      </c>
      <c r="H95" s="2" t="s">
        <v>587</v>
      </c>
      <c r="I95" s="2" t="s">
        <v>588</v>
      </c>
      <c r="J95" s="2" t="s">
        <v>2350</v>
      </c>
      <c r="K95" s="2" t="s">
        <v>2351</v>
      </c>
      <c r="L95" s="2" t="s">
        <v>1593</v>
      </c>
      <c r="M95" s="2" t="s">
        <v>81</v>
      </c>
      <c r="N95" s="2" t="s">
        <v>1827</v>
      </c>
    </row>
    <row r="96">
      <c r="A96" s="2">
        <v>95</v>
      </c>
      <c r="B96" s="2" t="s">
        <v>572</v>
      </c>
      <c r="C96" s="2" t="s">
        <v>41</v>
      </c>
      <c r="D96" s="2" t="s">
        <v>589</v>
      </c>
      <c r="E96" s="2" t="s">
        <v>1828</v>
      </c>
      <c r="F96" s="2" t="s">
        <v>593</v>
      </c>
      <c r="G96" s="2" t="s">
        <v>1596</v>
      </c>
      <c r="H96" s="2" t="s">
        <v>594</v>
      </c>
      <c r="I96" s="2" t="s">
        <v>595</v>
      </c>
      <c r="J96" s="2" t="s">
        <v>2352</v>
      </c>
      <c r="K96" s="2" t="s">
        <v>2353</v>
      </c>
      <c r="L96" s="2" t="s">
        <v>1593</v>
      </c>
      <c r="M96" s="2" t="s">
        <v>81</v>
      </c>
      <c r="N96" s="2" t="s">
        <v>1829</v>
      </c>
    </row>
    <row r="97">
      <c r="A97" s="2">
        <v>96</v>
      </c>
      <c r="B97" s="2" t="s">
        <v>572</v>
      </c>
      <c r="C97" s="2" t="s">
        <v>22</v>
      </c>
      <c r="D97" s="2" t="s">
        <v>596</v>
      </c>
      <c r="E97" s="2" t="s">
        <v>1830</v>
      </c>
      <c r="F97" s="2" t="s">
        <v>598</v>
      </c>
      <c r="G97" s="2" t="s">
        <v>1606</v>
      </c>
      <c r="H97" s="2" t="s">
        <v>599</v>
      </c>
      <c r="I97" s="2" t="s">
        <v>600</v>
      </c>
      <c r="J97" s="2" t="s">
        <v>2354</v>
      </c>
      <c r="K97" s="2" t="s">
        <v>2355</v>
      </c>
      <c r="L97" s="2" t="s">
        <v>1593</v>
      </c>
      <c r="M97" s="2"/>
      <c r="N97" s="2" t="s">
        <v>1831</v>
      </c>
    </row>
    <row r="98">
      <c r="A98" s="2">
        <v>97</v>
      </c>
      <c r="B98" s="2" t="s">
        <v>572</v>
      </c>
      <c r="C98" s="2" t="s">
        <v>239</v>
      </c>
      <c r="D98" s="2" t="s">
        <v>601</v>
      </c>
      <c r="E98" s="2" t="s">
        <v>1832</v>
      </c>
      <c r="F98" s="2" t="s">
        <v>397</v>
      </c>
      <c r="G98" s="2" t="s">
        <v>1833</v>
      </c>
      <c r="H98" s="2" t="s">
        <v>602</v>
      </c>
      <c r="I98" s="2" t="s">
        <v>603</v>
      </c>
      <c r="J98" s="2" t="s">
        <v>2356</v>
      </c>
      <c r="K98" s="2" t="s">
        <v>2357</v>
      </c>
      <c r="L98" s="2" t="s">
        <v>1593</v>
      </c>
      <c r="M98" s="2"/>
      <c r="N98" s="2" t="s">
        <v>1834</v>
      </c>
    </row>
    <row r="99">
      <c r="A99" s="2">
        <v>98</v>
      </c>
      <c r="B99" s="2" t="s">
        <v>572</v>
      </c>
      <c r="C99" s="2" t="s">
        <v>604</v>
      </c>
      <c r="D99" s="2" t="s">
        <v>605</v>
      </c>
      <c r="E99" s="2" t="s">
        <v>1835</v>
      </c>
      <c r="F99" s="2" t="s">
        <v>281</v>
      </c>
      <c r="G99" s="2" t="s">
        <v>1821</v>
      </c>
      <c r="H99" s="2" t="s">
        <v>608</v>
      </c>
      <c r="I99" s="2" t="s">
        <v>609</v>
      </c>
      <c r="J99" s="2"/>
      <c r="K99" s="2" t="s">
        <v>2358</v>
      </c>
      <c r="L99" s="2" t="s">
        <v>1593</v>
      </c>
      <c r="M99" s="2"/>
      <c r="N99" s="2" t="s">
        <v>1836</v>
      </c>
    </row>
    <row r="100">
      <c r="A100" s="2">
        <v>99</v>
      </c>
      <c r="B100" s="2" t="s">
        <v>572</v>
      </c>
      <c r="C100" s="2" t="s">
        <v>131</v>
      </c>
      <c r="D100" s="2" t="s">
        <v>610</v>
      </c>
      <c r="E100" s="2" t="s">
        <v>1837</v>
      </c>
      <c r="F100" s="2" t="s">
        <v>479</v>
      </c>
      <c r="G100" s="2" t="s">
        <v>1625</v>
      </c>
      <c r="H100" s="2" t="s">
        <v>614</v>
      </c>
      <c r="I100" s="2" t="s">
        <v>615</v>
      </c>
      <c r="J100" s="2"/>
      <c r="K100" s="2" t="s">
        <v>2359</v>
      </c>
      <c r="L100" s="2" t="s">
        <v>1593</v>
      </c>
      <c r="M100" s="2"/>
      <c r="N100" s="2" t="s">
        <v>1838</v>
      </c>
    </row>
    <row r="101">
      <c r="A101" s="2">
        <v>100</v>
      </c>
      <c r="B101" s="2" t="s">
        <v>572</v>
      </c>
      <c r="C101" s="2" t="s">
        <v>41</v>
      </c>
      <c r="D101" s="2" t="s">
        <v>616</v>
      </c>
      <c r="E101" s="2" t="s">
        <v>1839</v>
      </c>
      <c r="F101" s="2" t="s">
        <v>479</v>
      </c>
      <c r="G101" s="2" t="s">
        <v>1596</v>
      </c>
      <c r="H101" s="2" t="s">
        <v>620</v>
      </c>
      <c r="I101" s="2" t="s">
        <v>621</v>
      </c>
      <c r="J101" s="2"/>
      <c r="K101" s="2" t="s">
        <v>2360</v>
      </c>
      <c r="L101" s="2" t="s">
        <v>1593</v>
      </c>
      <c r="M101" s="2" t="s">
        <v>563</v>
      </c>
      <c r="N101" s="2" t="s">
        <v>1840</v>
      </c>
    </row>
    <row r="102">
      <c r="A102" s="2">
        <v>101</v>
      </c>
      <c r="B102" s="2" t="s">
        <v>572</v>
      </c>
      <c r="C102" s="2" t="s">
        <v>41</v>
      </c>
      <c r="D102" s="2" t="s">
        <v>622</v>
      </c>
      <c r="E102" s="2" t="s">
        <v>1841</v>
      </c>
      <c r="F102" s="2" t="s">
        <v>625</v>
      </c>
      <c r="G102" s="2" t="s">
        <v>1596</v>
      </c>
      <c r="H102" s="2" t="s">
        <v>626</v>
      </c>
      <c r="I102" s="2" t="s">
        <v>627</v>
      </c>
      <c r="J102" s="2" t="s">
        <v>2361</v>
      </c>
      <c r="K102" s="2" t="s">
        <v>2362</v>
      </c>
      <c r="L102" s="2" t="s">
        <v>1593</v>
      </c>
      <c r="M102" s="2" t="s">
        <v>145</v>
      </c>
      <c r="N102" s="2" t="s">
        <v>1842</v>
      </c>
    </row>
    <row r="103">
      <c r="A103" s="2">
        <v>102</v>
      </c>
      <c r="B103" s="2" t="s">
        <v>572</v>
      </c>
      <c r="C103" s="2" t="s">
        <v>117</v>
      </c>
      <c r="D103" s="2" t="s">
        <v>628</v>
      </c>
      <c r="E103" s="2" t="s">
        <v>1843</v>
      </c>
      <c r="F103" s="2" t="s">
        <v>634</v>
      </c>
      <c r="G103" s="2" t="s">
        <v>1652</v>
      </c>
      <c r="H103" s="2" t="s">
        <v>635</v>
      </c>
      <c r="I103" s="2" t="s">
        <v>636</v>
      </c>
      <c r="J103" s="2" t="s">
        <v>2363</v>
      </c>
      <c r="K103" s="2"/>
      <c r="L103" s="2" t="s">
        <v>1593</v>
      </c>
      <c r="M103" s="2"/>
      <c r="N103" s="2" t="s">
        <v>1844</v>
      </c>
    </row>
    <row r="104">
      <c r="A104" s="2">
        <v>103</v>
      </c>
      <c r="B104" s="2" t="s">
        <v>572</v>
      </c>
      <c r="C104" s="2" t="s">
        <v>131</v>
      </c>
      <c r="D104" s="2" t="s">
        <v>637</v>
      </c>
      <c r="E104" s="2" t="s">
        <v>1845</v>
      </c>
      <c r="F104" s="2" t="s">
        <v>194</v>
      </c>
      <c r="G104" s="2" t="s">
        <v>1846</v>
      </c>
      <c r="H104" s="2" t="s">
        <v>640</v>
      </c>
      <c r="I104" s="2" t="s">
        <v>641</v>
      </c>
      <c r="J104" s="2" t="s">
        <v>2364</v>
      </c>
      <c r="K104" s="2" t="s">
        <v>2365</v>
      </c>
      <c r="L104" s="2" t="s">
        <v>1593</v>
      </c>
      <c r="M104" s="2"/>
      <c r="N104" s="2" t="s">
        <v>1847</v>
      </c>
    </row>
    <row r="105">
      <c r="A105" s="2">
        <v>104</v>
      </c>
      <c r="B105" s="2" t="s">
        <v>572</v>
      </c>
      <c r="C105" s="2" t="s">
        <v>41</v>
      </c>
      <c r="D105" s="2" t="s">
        <v>642</v>
      </c>
      <c r="E105" s="2" t="s">
        <v>1848</v>
      </c>
      <c r="F105" s="2" t="s">
        <v>78</v>
      </c>
      <c r="G105" s="2" t="s">
        <v>1596</v>
      </c>
      <c r="H105" s="2" t="s">
        <v>644</v>
      </c>
      <c r="I105" s="2" t="s">
        <v>645</v>
      </c>
      <c r="J105" s="2" t="s">
        <v>2366</v>
      </c>
      <c r="K105" s="2" t="s">
        <v>2367</v>
      </c>
      <c r="L105" s="2" t="s">
        <v>1593</v>
      </c>
      <c r="M105" s="2" t="s">
        <v>81</v>
      </c>
      <c r="N105" s="2" t="s">
        <v>1849</v>
      </c>
    </row>
    <row r="106">
      <c r="A106" s="2">
        <v>105</v>
      </c>
      <c r="B106" s="2" t="s">
        <v>572</v>
      </c>
      <c r="C106" s="2" t="s">
        <v>646</v>
      </c>
      <c r="D106" s="2" t="s">
        <v>647</v>
      </c>
      <c r="E106" s="2" t="s">
        <v>1850</v>
      </c>
      <c r="F106" s="2" t="s">
        <v>479</v>
      </c>
      <c r="G106" s="2" t="s">
        <v>1851</v>
      </c>
      <c r="H106" s="2" t="s">
        <v>651</v>
      </c>
      <c r="I106" s="2" t="s">
        <v>652</v>
      </c>
      <c r="J106" s="2"/>
      <c r="K106" s="2" t="s">
        <v>2368</v>
      </c>
      <c r="L106" s="2" t="s">
        <v>1593</v>
      </c>
      <c r="M106" s="2" t="s">
        <v>563</v>
      </c>
      <c r="N106" s="2" t="s">
        <v>1852</v>
      </c>
    </row>
    <row r="107">
      <c r="A107" s="2">
        <v>106</v>
      </c>
      <c r="B107" s="2" t="s">
        <v>572</v>
      </c>
      <c r="C107" s="2" t="s">
        <v>56</v>
      </c>
      <c r="D107" s="2" t="s">
        <v>653</v>
      </c>
      <c r="E107" s="2" t="s">
        <v>1853</v>
      </c>
      <c r="F107" s="2" t="s">
        <v>655</v>
      </c>
      <c r="G107" s="2" t="s">
        <v>1854</v>
      </c>
      <c r="H107" s="2" t="s">
        <v>656</v>
      </c>
      <c r="I107" s="2" t="s">
        <v>657</v>
      </c>
      <c r="J107" s="2" t="s">
        <v>2369</v>
      </c>
      <c r="K107" s="2" t="s">
        <v>2370</v>
      </c>
      <c r="L107" s="2" t="s">
        <v>1593</v>
      </c>
      <c r="M107" s="2"/>
      <c r="N107" s="2" t="s">
        <v>1855</v>
      </c>
    </row>
    <row r="108">
      <c r="A108" s="2">
        <v>107</v>
      </c>
      <c r="B108" s="2" t="s">
        <v>572</v>
      </c>
      <c r="C108" s="2" t="s">
        <v>41</v>
      </c>
      <c r="D108" s="2" t="s">
        <v>658</v>
      </c>
      <c r="E108" s="2" t="s">
        <v>1856</v>
      </c>
      <c r="F108" s="2" t="s">
        <v>634</v>
      </c>
      <c r="G108" s="2" t="s">
        <v>1652</v>
      </c>
      <c r="H108" s="2" t="s">
        <v>662</v>
      </c>
      <c r="I108" s="2" t="s">
        <v>663</v>
      </c>
      <c r="J108" s="2" t="s">
        <v>2371</v>
      </c>
      <c r="K108" s="2"/>
      <c r="L108" s="2" t="s">
        <v>1593</v>
      </c>
      <c r="M108" s="2"/>
      <c r="N108" s="2" t="s">
        <v>1857</v>
      </c>
    </row>
    <row r="109">
      <c r="A109" s="2">
        <v>108</v>
      </c>
      <c r="B109" s="2" t="s">
        <v>572</v>
      </c>
      <c r="C109" s="2" t="s">
        <v>56</v>
      </c>
      <c r="D109" s="2" t="s">
        <v>664</v>
      </c>
      <c r="E109" s="2" t="s">
        <v>1858</v>
      </c>
      <c r="F109" s="2" t="s">
        <v>666</v>
      </c>
      <c r="G109" s="2" t="s">
        <v>1675</v>
      </c>
      <c r="H109" s="2" t="s">
        <v>667</v>
      </c>
      <c r="I109" s="2" t="s">
        <v>668</v>
      </c>
      <c r="J109" s="2" t="s">
        <v>2372</v>
      </c>
      <c r="K109" s="2"/>
      <c r="L109" s="2" t="s">
        <v>1597</v>
      </c>
      <c r="M109" s="2"/>
      <c r="N109" s="2" t="s">
        <v>1859</v>
      </c>
    </row>
    <row r="110">
      <c r="A110" s="2">
        <v>109</v>
      </c>
      <c r="B110" s="2" t="s">
        <v>572</v>
      </c>
      <c r="C110" s="2" t="s">
        <v>117</v>
      </c>
      <c r="D110" s="2" t="s">
        <v>669</v>
      </c>
      <c r="E110" s="2" t="s">
        <v>1860</v>
      </c>
      <c r="F110" s="2" t="s">
        <v>672</v>
      </c>
      <c r="G110" s="2" t="s">
        <v>1634</v>
      </c>
      <c r="H110" s="2" t="s">
        <v>673</v>
      </c>
      <c r="I110" s="2" t="s">
        <v>674</v>
      </c>
      <c r="J110" s="2" t="s">
        <v>2373</v>
      </c>
      <c r="K110" s="2" t="s">
        <v>2374</v>
      </c>
      <c r="L110" s="2" t="s">
        <v>1593</v>
      </c>
      <c r="M110" s="2" t="s">
        <v>81</v>
      </c>
      <c r="N110" s="2" t="s">
        <v>1861</v>
      </c>
    </row>
    <row r="111">
      <c r="A111" s="2">
        <v>110</v>
      </c>
      <c r="B111" s="2" t="s">
        <v>572</v>
      </c>
      <c r="C111" s="2" t="s">
        <v>82</v>
      </c>
      <c r="D111" s="2" t="s">
        <v>675</v>
      </c>
      <c r="E111" s="2" t="s">
        <v>1862</v>
      </c>
      <c r="F111" s="2" t="s">
        <v>107</v>
      </c>
      <c r="G111" s="2" t="s">
        <v>1814</v>
      </c>
      <c r="H111" s="2" t="s">
        <v>679</v>
      </c>
      <c r="I111" s="2" t="s">
        <v>680</v>
      </c>
      <c r="J111" s="2" t="s">
        <v>2375</v>
      </c>
      <c r="K111" s="2" t="s">
        <v>2376</v>
      </c>
      <c r="L111" s="2" t="s">
        <v>1593</v>
      </c>
      <c r="M111" s="2"/>
      <c r="N111" s="2" t="s">
        <v>1863</v>
      </c>
    </row>
    <row r="112">
      <c r="A112" s="2">
        <v>111</v>
      </c>
      <c r="B112" s="2" t="s">
        <v>572</v>
      </c>
      <c r="C112" s="2" t="s">
        <v>56</v>
      </c>
      <c r="D112" s="2" t="s">
        <v>681</v>
      </c>
      <c r="E112" s="2" t="s">
        <v>1864</v>
      </c>
      <c r="F112" s="2" t="s">
        <v>135</v>
      </c>
      <c r="G112" s="2" t="s">
        <v>1742</v>
      </c>
      <c r="H112" s="2" t="s">
        <v>682</v>
      </c>
      <c r="I112" s="2" t="s">
        <v>683</v>
      </c>
      <c r="J112" s="2" t="s">
        <v>2377</v>
      </c>
      <c r="K112" s="2" t="s">
        <v>2378</v>
      </c>
      <c r="L112" s="2" t="s">
        <v>1593</v>
      </c>
      <c r="M112" s="2"/>
      <c r="N112" s="2" t="s">
        <v>1865</v>
      </c>
    </row>
    <row r="113">
      <c r="A113" s="2">
        <v>112</v>
      </c>
      <c r="B113" s="2" t="s">
        <v>572</v>
      </c>
      <c r="C113" s="2" t="s">
        <v>41</v>
      </c>
      <c r="D113" s="2" t="s">
        <v>684</v>
      </c>
      <c r="E113" s="2" t="s">
        <v>1866</v>
      </c>
      <c r="F113" s="2" t="s">
        <v>687</v>
      </c>
      <c r="G113" s="2" t="s">
        <v>1867</v>
      </c>
      <c r="H113" s="2" t="s">
        <v>688</v>
      </c>
      <c r="I113" s="2" t="s">
        <v>689</v>
      </c>
      <c r="J113" s="2" t="s">
        <v>2379</v>
      </c>
      <c r="K113" s="2" t="s">
        <v>2380</v>
      </c>
      <c r="L113" s="2" t="s">
        <v>1593</v>
      </c>
      <c r="M113" s="2"/>
      <c r="N113" s="2" t="s">
        <v>1868</v>
      </c>
    </row>
    <row r="114">
      <c r="A114" s="2">
        <v>113</v>
      </c>
      <c r="B114" s="2" t="s">
        <v>572</v>
      </c>
      <c r="C114" s="2" t="s">
        <v>41</v>
      </c>
      <c r="D114" s="2" t="s">
        <v>690</v>
      </c>
      <c r="E114" s="2" t="s">
        <v>1869</v>
      </c>
      <c r="F114" s="2" t="s">
        <v>281</v>
      </c>
      <c r="G114" s="2" t="s">
        <v>1596</v>
      </c>
      <c r="H114" s="2" t="s">
        <v>694</v>
      </c>
      <c r="I114" s="2" t="s">
        <v>695</v>
      </c>
      <c r="J114" s="2"/>
      <c r="K114" s="2" t="s">
        <v>2381</v>
      </c>
      <c r="L114" s="2" t="s">
        <v>1593</v>
      </c>
      <c r="M114" s="2" t="s">
        <v>197</v>
      </c>
      <c r="N114" s="2" t="s">
        <v>1870</v>
      </c>
    </row>
    <row r="115">
      <c r="A115" s="2">
        <v>114</v>
      </c>
      <c r="B115" s="2" t="s">
        <v>572</v>
      </c>
      <c r="C115" s="2" t="s">
        <v>239</v>
      </c>
      <c r="D115" s="2" t="s">
        <v>696</v>
      </c>
      <c r="E115" s="2" t="s">
        <v>1871</v>
      </c>
      <c r="F115" s="2" t="s">
        <v>107</v>
      </c>
      <c r="G115" s="2" t="s">
        <v>1872</v>
      </c>
      <c r="H115" s="2" t="s">
        <v>700</v>
      </c>
      <c r="I115" s="2" t="s">
        <v>701</v>
      </c>
      <c r="J115" s="2" t="s">
        <v>2382</v>
      </c>
      <c r="K115" s="2" t="s">
        <v>2383</v>
      </c>
      <c r="L115" s="2" t="s">
        <v>1593</v>
      </c>
      <c r="M115" s="2"/>
      <c r="N115" s="2" t="s">
        <v>1873</v>
      </c>
    </row>
    <row r="116">
      <c r="A116" s="2">
        <v>115</v>
      </c>
      <c r="B116" s="2" t="s">
        <v>572</v>
      </c>
      <c r="C116" s="2" t="s">
        <v>41</v>
      </c>
      <c r="D116" s="2" t="s">
        <v>702</v>
      </c>
      <c r="E116" s="2" t="s">
        <v>1874</v>
      </c>
      <c r="F116" s="2" t="s">
        <v>705</v>
      </c>
      <c r="G116" s="2" t="s">
        <v>1652</v>
      </c>
      <c r="H116" s="2" t="s">
        <v>706</v>
      </c>
      <c r="I116" s="2" t="s">
        <v>707</v>
      </c>
      <c r="J116" s="2" t="s">
        <v>2384</v>
      </c>
      <c r="K116" s="2" t="s">
        <v>2385</v>
      </c>
      <c r="L116" s="2" t="s">
        <v>1593</v>
      </c>
      <c r="M116" s="2"/>
      <c r="N116" s="2" t="s">
        <v>1875</v>
      </c>
    </row>
    <row r="117">
      <c r="A117" s="2">
        <v>116</v>
      </c>
      <c r="B117" s="2" t="s">
        <v>572</v>
      </c>
      <c r="C117" s="2" t="s">
        <v>82</v>
      </c>
      <c r="D117" s="2" t="s">
        <v>708</v>
      </c>
      <c r="E117" s="2" t="s">
        <v>1876</v>
      </c>
      <c r="F117" s="2" t="s">
        <v>172</v>
      </c>
      <c r="G117" s="2" t="s">
        <v>1872</v>
      </c>
      <c r="H117" s="2" t="s">
        <v>712</v>
      </c>
      <c r="I117" s="2" t="s">
        <v>713</v>
      </c>
      <c r="J117" s="2"/>
      <c r="K117" s="2"/>
      <c r="L117" s="2" t="s">
        <v>1593</v>
      </c>
      <c r="M117" s="2" t="s">
        <v>81</v>
      </c>
      <c r="N117" s="2" t="s">
        <v>1877</v>
      </c>
    </row>
    <row r="118">
      <c r="A118" s="2">
        <v>117</v>
      </c>
      <c r="B118" s="2" t="s">
        <v>572</v>
      </c>
      <c r="C118" s="2" t="s">
        <v>110</v>
      </c>
      <c r="D118" s="2" t="s">
        <v>714</v>
      </c>
      <c r="E118" s="2" t="s">
        <v>1878</v>
      </c>
      <c r="F118" s="2" t="s">
        <v>718</v>
      </c>
      <c r="G118" s="2" t="s">
        <v>1879</v>
      </c>
      <c r="H118" s="2" t="s">
        <v>719</v>
      </c>
      <c r="I118" s="2" t="s">
        <v>720</v>
      </c>
      <c r="J118" s="2" t="s">
        <v>2386</v>
      </c>
      <c r="K118" s="2" t="s">
        <v>2387</v>
      </c>
      <c r="L118" s="2" t="s">
        <v>1593</v>
      </c>
      <c r="M118" s="2" t="s">
        <v>81</v>
      </c>
      <c r="N118" s="2" t="s">
        <v>1880</v>
      </c>
    </row>
    <row r="119">
      <c r="A119" s="2">
        <v>118</v>
      </c>
      <c r="B119" s="2" t="s">
        <v>572</v>
      </c>
      <c r="C119" s="2" t="s">
        <v>110</v>
      </c>
      <c r="D119" s="2" t="s">
        <v>721</v>
      </c>
      <c r="E119" s="2" t="s">
        <v>1881</v>
      </c>
      <c r="F119" s="2" t="s">
        <v>207</v>
      </c>
      <c r="G119" s="2" t="s">
        <v>1791</v>
      </c>
      <c r="H119" s="2" t="s">
        <v>724</v>
      </c>
      <c r="I119" s="2" t="s">
        <v>725</v>
      </c>
      <c r="J119" s="2" t="s">
        <v>2388</v>
      </c>
      <c r="K119" s="2" t="s">
        <v>2389</v>
      </c>
      <c r="L119" s="2" t="s">
        <v>1593</v>
      </c>
      <c r="M119" s="2"/>
      <c r="N119" s="2" t="s">
        <v>1882</v>
      </c>
    </row>
    <row r="120">
      <c r="A120" s="2">
        <v>119</v>
      </c>
      <c r="B120" s="2" t="s">
        <v>572</v>
      </c>
      <c r="C120" s="2" t="s">
        <v>192</v>
      </c>
      <c r="D120" s="2" t="s">
        <v>726</v>
      </c>
      <c r="E120" s="2" t="s">
        <v>1883</v>
      </c>
      <c r="F120" s="2" t="s">
        <v>397</v>
      </c>
      <c r="G120" s="2" t="s">
        <v>1760</v>
      </c>
      <c r="H120" s="2" t="s">
        <v>731</v>
      </c>
      <c r="I120" s="2" t="s">
        <v>732</v>
      </c>
      <c r="J120" s="2" t="s">
        <v>2390</v>
      </c>
      <c r="K120" s="2" t="s">
        <v>2391</v>
      </c>
      <c r="L120" s="2" t="s">
        <v>1593</v>
      </c>
      <c r="M120" s="2"/>
      <c r="N120" s="2" t="s">
        <v>1884</v>
      </c>
    </row>
    <row r="121">
      <c r="A121" s="2">
        <v>120</v>
      </c>
      <c r="B121" s="2" t="s">
        <v>572</v>
      </c>
      <c r="C121" s="2" t="s">
        <v>476</v>
      </c>
      <c r="D121" s="2" t="s">
        <v>733</v>
      </c>
      <c r="E121" s="2" t="s">
        <v>1885</v>
      </c>
      <c r="F121" s="2" t="s">
        <v>281</v>
      </c>
      <c r="G121" s="2" t="s">
        <v>1807</v>
      </c>
      <c r="H121" s="2" t="s">
        <v>734</v>
      </c>
      <c r="I121" s="2" t="s">
        <v>735</v>
      </c>
      <c r="J121" s="2"/>
      <c r="K121" s="2" t="s">
        <v>2392</v>
      </c>
      <c r="L121" s="2" t="s">
        <v>1593</v>
      </c>
      <c r="M121" s="2"/>
      <c r="N121" s="2" t="s">
        <v>1886</v>
      </c>
    </row>
    <row r="122">
      <c r="A122" s="2">
        <v>121</v>
      </c>
      <c r="B122" s="2" t="s">
        <v>572</v>
      </c>
      <c r="C122" s="2" t="s">
        <v>117</v>
      </c>
      <c r="D122" s="2" t="s">
        <v>736</v>
      </c>
      <c r="E122" s="2" t="s">
        <v>1887</v>
      </c>
      <c r="F122" s="2" t="s">
        <v>740</v>
      </c>
      <c r="G122" s="2" t="s">
        <v>1606</v>
      </c>
      <c r="H122" s="2" t="s">
        <v>741</v>
      </c>
      <c r="I122" s="2" t="s">
        <v>742</v>
      </c>
      <c r="J122" s="2" t="s">
        <v>2393</v>
      </c>
      <c r="K122" s="2" t="s">
        <v>2394</v>
      </c>
      <c r="L122" s="2" t="s">
        <v>1597</v>
      </c>
      <c r="M122" s="2"/>
      <c r="N122" s="2" t="s">
        <v>1888</v>
      </c>
    </row>
    <row r="123">
      <c r="A123" s="2">
        <v>122</v>
      </c>
      <c r="B123" s="2" t="s">
        <v>572</v>
      </c>
      <c r="C123" s="2" t="s">
        <v>82</v>
      </c>
      <c r="D123" s="2" t="s">
        <v>743</v>
      </c>
      <c r="E123" s="2" t="s">
        <v>1889</v>
      </c>
      <c r="F123" s="2" t="s">
        <v>746</v>
      </c>
      <c r="G123" s="2" t="s">
        <v>1662</v>
      </c>
      <c r="H123" s="2" t="s">
        <v>747</v>
      </c>
      <c r="I123" s="2" t="s">
        <v>748</v>
      </c>
      <c r="J123" s="2" t="s">
        <v>2395</v>
      </c>
      <c r="K123" s="2" t="s">
        <v>2396</v>
      </c>
      <c r="L123" s="2" t="s">
        <v>1619</v>
      </c>
      <c r="M123" s="2" t="s">
        <v>145</v>
      </c>
      <c r="N123" s="2" t="s">
        <v>1890</v>
      </c>
    </row>
    <row r="124">
      <c r="A124" s="2">
        <v>123</v>
      </c>
      <c r="B124" s="2" t="s">
        <v>572</v>
      </c>
      <c r="C124" s="2" t="s">
        <v>192</v>
      </c>
      <c r="D124" s="2" t="s">
        <v>749</v>
      </c>
      <c r="E124" s="2" t="s">
        <v>1891</v>
      </c>
      <c r="F124" s="2" t="s">
        <v>753</v>
      </c>
      <c r="G124" s="2" t="s">
        <v>1892</v>
      </c>
      <c r="H124" s="2" t="s">
        <v>754</v>
      </c>
      <c r="I124" s="2" t="s">
        <v>755</v>
      </c>
      <c r="J124" s="2" t="s">
        <v>2397</v>
      </c>
      <c r="K124" s="2" t="s">
        <v>2398</v>
      </c>
      <c r="L124" s="2" t="s">
        <v>1593</v>
      </c>
      <c r="M124" s="2" t="s">
        <v>563</v>
      </c>
      <c r="N124" s="2" t="s">
        <v>1893</v>
      </c>
    </row>
    <row r="125">
      <c r="A125" s="2">
        <v>124</v>
      </c>
      <c r="B125" s="2" t="s">
        <v>572</v>
      </c>
      <c r="C125" s="2" t="s">
        <v>41</v>
      </c>
      <c r="D125" s="2" t="s">
        <v>756</v>
      </c>
      <c r="E125" s="2" t="s">
        <v>1894</v>
      </c>
      <c r="F125" s="2" t="s">
        <v>760</v>
      </c>
      <c r="G125" s="2" t="s">
        <v>1596</v>
      </c>
      <c r="H125" s="2" t="s">
        <v>761</v>
      </c>
      <c r="I125" s="2" t="s">
        <v>762</v>
      </c>
      <c r="J125" s="2"/>
      <c r="K125" s="2"/>
      <c r="L125" s="2" t="s">
        <v>1593</v>
      </c>
      <c r="M125" s="2" t="s">
        <v>145</v>
      </c>
      <c r="N125" s="2" t="s">
        <v>1895</v>
      </c>
    </row>
    <row r="126">
      <c r="A126" s="2">
        <v>125</v>
      </c>
      <c r="B126" s="2" t="s">
        <v>572</v>
      </c>
      <c r="C126" s="2" t="s">
        <v>131</v>
      </c>
      <c r="D126" s="2" t="s">
        <v>763</v>
      </c>
      <c r="E126" s="2" t="s">
        <v>1896</v>
      </c>
      <c r="F126" s="2" t="s">
        <v>764</v>
      </c>
      <c r="G126" s="2" t="s">
        <v>1662</v>
      </c>
      <c r="H126" s="2" t="s">
        <v>765</v>
      </c>
      <c r="I126" s="2" t="s">
        <v>766</v>
      </c>
      <c r="J126" s="2" t="s">
        <v>2399</v>
      </c>
      <c r="K126" s="2" t="s">
        <v>2400</v>
      </c>
      <c r="L126" s="2" t="s">
        <v>1619</v>
      </c>
      <c r="M126" s="2"/>
      <c r="N126" s="2" t="s">
        <v>1897</v>
      </c>
    </row>
    <row r="127">
      <c r="A127" s="2">
        <v>126</v>
      </c>
      <c r="B127" s="2" t="s">
        <v>572</v>
      </c>
      <c r="C127" s="2" t="s">
        <v>239</v>
      </c>
      <c r="D127" s="2" t="s">
        <v>767</v>
      </c>
      <c r="E127" s="2" t="s">
        <v>1898</v>
      </c>
      <c r="F127" s="2" t="s">
        <v>172</v>
      </c>
      <c r="G127" s="2" t="s">
        <v>1682</v>
      </c>
      <c r="H127" s="2" t="s">
        <v>771</v>
      </c>
      <c r="I127" s="2" t="s">
        <v>772</v>
      </c>
      <c r="J127" s="2"/>
      <c r="K127" s="2"/>
      <c r="L127" s="2" t="s">
        <v>1593</v>
      </c>
      <c r="M127" s="2" t="s">
        <v>81</v>
      </c>
      <c r="N127" s="2" t="s">
        <v>1899</v>
      </c>
    </row>
    <row r="128">
      <c r="A128" s="2">
        <v>127</v>
      </c>
      <c r="B128" s="2" t="s">
        <v>572</v>
      </c>
      <c r="C128" s="2" t="s">
        <v>117</v>
      </c>
      <c r="D128" s="2" t="s">
        <v>773</v>
      </c>
      <c r="E128" s="2" t="s">
        <v>1900</v>
      </c>
      <c r="F128" s="2" t="s">
        <v>358</v>
      </c>
      <c r="G128" s="2" t="s">
        <v>1742</v>
      </c>
      <c r="H128" s="2" t="s">
        <v>775</v>
      </c>
      <c r="I128" s="2" t="s">
        <v>776</v>
      </c>
      <c r="J128" s="2" t="s">
        <v>2401</v>
      </c>
      <c r="K128" s="2" t="s">
        <v>2402</v>
      </c>
      <c r="L128" s="2" t="s">
        <v>1593</v>
      </c>
      <c r="M128" s="2" t="s">
        <v>81</v>
      </c>
      <c r="N128" s="2" t="s">
        <v>1901</v>
      </c>
    </row>
    <row r="129">
      <c r="A129" s="2">
        <v>128</v>
      </c>
      <c r="B129" s="2" t="s">
        <v>572</v>
      </c>
      <c r="C129" s="2" t="s">
        <v>117</v>
      </c>
      <c r="D129" s="2" t="s">
        <v>777</v>
      </c>
      <c r="E129" s="2" t="s">
        <v>1902</v>
      </c>
      <c r="F129" s="2" t="s">
        <v>779</v>
      </c>
      <c r="G129" s="2" t="s">
        <v>1733</v>
      </c>
      <c r="H129" s="2" t="s">
        <v>780</v>
      </c>
      <c r="I129" s="2" t="s">
        <v>781</v>
      </c>
      <c r="J129" s="2" t="s">
        <v>2403</v>
      </c>
      <c r="K129" s="2" t="s">
        <v>2404</v>
      </c>
      <c r="L129" s="2" t="s">
        <v>1593</v>
      </c>
      <c r="M129" s="2" t="s">
        <v>81</v>
      </c>
      <c r="N129" s="2" t="s">
        <v>1903</v>
      </c>
    </row>
    <row r="130">
      <c r="A130" s="2">
        <v>129</v>
      </c>
      <c r="B130" s="2" t="s">
        <v>572</v>
      </c>
      <c r="C130" s="2" t="s">
        <v>117</v>
      </c>
      <c r="D130" s="2" t="s">
        <v>782</v>
      </c>
      <c r="E130" s="2" t="s">
        <v>1904</v>
      </c>
      <c r="F130" s="2" t="s">
        <v>785</v>
      </c>
      <c r="G130" s="2" t="s">
        <v>1652</v>
      </c>
      <c r="H130" s="2" t="s">
        <v>786</v>
      </c>
      <c r="I130" s="2" t="s">
        <v>787</v>
      </c>
      <c r="J130" s="2" t="s">
        <v>2405</v>
      </c>
      <c r="K130" s="2"/>
      <c r="L130" s="2" t="s">
        <v>1593</v>
      </c>
      <c r="M130" s="2" t="s">
        <v>81</v>
      </c>
      <c r="N130" s="2" t="s">
        <v>1905</v>
      </c>
    </row>
    <row r="131">
      <c r="A131" s="2">
        <v>130</v>
      </c>
      <c r="B131" s="2" t="s">
        <v>572</v>
      </c>
      <c r="C131" s="2" t="s">
        <v>41</v>
      </c>
      <c r="D131" s="2" t="s">
        <v>788</v>
      </c>
      <c r="E131" s="2" t="s">
        <v>1906</v>
      </c>
      <c r="F131" s="2" t="s">
        <v>422</v>
      </c>
      <c r="G131" s="2" t="s">
        <v>1596</v>
      </c>
      <c r="H131" s="2" t="s">
        <v>790</v>
      </c>
      <c r="I131" s="2" t="s">
        <v>791</v>
      </c>
      <c r="J131" s="2" t="s">
        <v>2406</v>
      </c>
      <c r="K131" s="2" t="s">
        <v>2407</v>
      </c>
      <c r="L131" s="2" t="s">
        <v>1593</v>
      </c>
      <c r="M131" s="2" t="s">
        <v>81</v>
      </c>
      <c r="N131" s="2" t="s">
        <v>1907</v>
      </c>
    </row>
    <row r="132">
      <c r="A132" s="2">
        <v>131</v>
      </c>
      <c r="B132" s="2" t="s">
        <v>572</v>
      </c>
      <c r="C132" s="2" t="s">
        <v>56</v>
      </c>
      <c r="D132" s="2" t="s">
        <v>792</v>
      </c>
      <c r="E132" s="2" t="s">
        <v>1908</v>
      </c>
      <c r="F132" s="2" t="s">
        <v>794</v>
      </c>
      <c r="G132" s="2" t="s">
        <v>1644</v>
      </c>
      <c r="H132" s="2" t="s">
        <v>795</v>
      </c>
      <c r="I132" s="2" t="s">
        <v>796</v>
      </c>
      <c r="J132" s="2" t="s">
        <v>2408</v>
      </c>
      <c r="K132" s="2" t="s">
        <v>2409</v>
      </c>
      <c r="L132" s="2" t="s">
        <v>1619</v>
      </c>
      <c r="M132" s="2"/>
      <c r="N132" s="2" t="s">
        <v>1909</v>
      </c>
    </row>
    <row r="133">
      <c r="A133" s="2">
        <v>132</v>
      </c>
      <c r="B133" s="2" t="s">
        <v>572</v>
      </c>
      <c r="C133" s="2" t="s">
        <v>131</v>
      </c>
      <c r="D133" s="2" t="s">
        <v>797</v>
      </c>
      <c r="E133" s="2" t="s">
        <v>1910</v>
      </c>
      <c r="F133" s="2" t="s">
        <v>67</v>
      </c>
      <c r="G133" s="2" t="s">
        <v>1701</v>
      </c>
      <c r="H133" s="2" t="s">
        <v>800</v>
      </c>
      <c r="I133" s="2" t="s">
        <v>801</v>
      </c>
      <c r="J133" s="2" t="s">
        <v>2410</v>
      </c>
      <c r="K133" s="2" t="s">
        <v>2411</v>
      </c>
      <c r="L133" s="2" t="s">
        <v>1593</v>
      </c>
      <c r="M133" s="2" t="s">
        <v>563</v>
      </c>
      <c r="N133" s="2" t="s">
        <v>1911</v>
      </c>
    </row>
    <row r="134">
      <c r="A134" s="2">
        <v>133</v>
      </c>
      <c r="B134" s="2" t="s">
        <v>572</v>
      </c>
      <c r="C134" s="2" t="s">
        <v>117</v>
      </c>
      <c r="D134" s="2" t="s">
        <v>802</v>
      </c>
      <c r="E134" s="2" t="s">
        <v>1912</v>
      </c>
      <c r="F134" s="2" t="s">
        <v>805</v>
      </c>
      <c r="G134" s="2" t="s">
        <v>1733</v>
      </c>
      <c r="H134" s="2" t="s">
        <v>806</v>
      </c>
      <c r="I134" s="2" t="s">
        <v>807</v>
      </c>
      <c r="J134" s="2" t="s">
        <v>2412</v>
      </c>
      <c r="K134" s="2" t="s">
        <v>2413</v>
      </c>
      <c r="L134" s="2" t="s">
        <v>1593</v>
      </c>
      <c r="M134" s="2"/>
      <c r="N134" s="2" t="s">
        <v>1913</v>
      </c>
    </row>
    <row r="135">
      <c r="A135" s="2">
        <v>134</v>
      </c>
      <c r="B135" s="2" t="s">
        <v>572</v>
      </c>
      <c r="C135" s="2" t="s">
        <v>70</v>
      </c>
      <c r="D135" s="2" t="s">
        <v>808</v>
      </c>
      <c r="E135" s="2" t="s">
        <v>1914</v>
      </c>
      <c r="F135" s="2" t="s">
        <v>142</v>
      </c>
      <c r="G135" s="2" t="s">
        <v>1867</v>
      </c>
      <c r="H135" s="2" t="s">
        <v>811</v>
      </c>
      <c r="I135" s="2" t="s">
        <v>812</v>
      </c>
      <c r="J135" s="2" t="s">
        <v>2414</v>
      </c>
      <c r="K135" s="2"/>
      <c r="L135" s="2" t="s">
        <v>1593</v>
      </c>
      <c r="M135" s="2" t="s">
        <v>81</v>
      </c>
      <c r="N135" s="2" t="s">
        <v>1915</v>
      </c>
    </row>
    <row r="136">
      <c r="A136" s="2">
        <v>135</v>
      </c>
      <c r="B136" s="2" t="s">
        <v>572</v>
      </c>
      <c r="C136" s="2" t="s">
        <v>117</v>
      </c>
      <c r="D136" s="2" t="s">
        <v>813</v>
      </c>
      <c r="E136" s="2" t="s">
        <v>1916</v>
      </c>
      <c r="F136" s="2" t="s">
        <v>815</v>
      </c>
      <c r="G136" s="2" t="s">
        <v>1596</v>
      </c>
      <c r="H136" s="2" t="s">
        <v>816</v>
      </c>
      <c r="I136" s="2" t="s">
        <v>817</v>
      </c>
      <c r="J136" s="2" t="s">
        <v>2415</v>
      </c>
      <c r="K136" s="2"/>
      <c r="L136" s="2" t="s">
        <v>1593</v>
      </c>
      <c r="M136" s="2" t="s">
        <v>152</v>
      </c>
      <c r="N136" s="2" t="s">
        <v>1917</v>
      </c>
    </row>
    <row r="137">
      <c r="A137" s="2">
        <v>136</v>
      </c>
      <c r="B137" s="2" t="s">
        <v>572</v>
      </c>
      <c r="C137" s="2" t="s">
        <v>41</v>
      </c>
      <c r="D137" s="2" t="s">
        <v>818</v>
      </c>
      <c r="E137" s="2" t="s">
        <v>1918</v>
      </c>
      <c r="F137" s="2" t="s">
        <v>194</v>
      </c>
      <c r="G137" s="2" t="s">
        <v>1596</v>
      </c>
      <c r="H137" s="2" t="s">
        <v>821</v>
      </c>
      <c r="I137" s="2" t="s">
        <v>822</v>
      </c>
      <c r="J137" s="2" t="s">
        <v>2416</v>
      </c>
      <c r="K137" s="2" t="s">
        <v>2417</v>
      </c>
      <c r="L137" s="2" t="s">
        <v>1593</v>
      </c>
      <c r="M137" s="2" t="s">
        <v>145</v>
      </c>
      <c r="N137" s="2" t="s">
        <v>1919</v>
      </c>
    </row>
    <row r="138">
      <c r="A138" s="2">
        <v>137</v>
      </c>
      <c r="B138" s="2" t="s">
        <v>572</v>
      </c>
      <c r="C138" s="2" t="s">
        <v>56</v>
      </c>
      <c r="D138" s="2" t="s">
        <v>823</v>
      </c>
      <c r="E138" s="2" t="s">
        <v>1920</v>
      </c>
      <c r="F138" s="2" t="s">
        <v>149</v>
      </c>
      <c r="G138" s="2" t="s">
        <v>1670</v>
      </c>
      <c r="H138" s="2" t="s">
        <v>824</v>
      </c>
      <c r="I138" s="2" t="s">
        <v>825</v>
      </c>
      <c r="J138" s="2" t="s">
        <v>2418</v>
      </c>
      <c r="K138" s="2" t="s">
        <v>2419</v>
      </c>
      <c r="L138" s="2" t="s">
        <v>1593</v>
      </c>
      <c r="M138" s="2" t="s">
        <v>191</v>
      </c>
      <c r="N138" s="2" t="s">
        <v>1921</v>
      </c>
    </row>
    <row r="139">
      <c r="A139" s="2">
        <v>138</v>
      </c>
      <c r="B139" s="2" t="s">
        <v>572</v>
      </c>
      <c r="C139" s="2" t="s">
        <v>41</v>
      </c>
      <c r="D139" s="2" t="s">
        <v>826</v>
      </c>
      <c r="E139" s="2" t="s">
        <v>1922</v>
      </c>
      <c r="F139" s="2" t="s">
        <v>830</v>
      </c>
      <c r="G139" s="2" t="s">
        <v>1606</v>
      </c>
      <c r="H139" s="2" t="s">
        <v>831</v>
      </c>
      <c r="I139" s="2" t="s">
        <v>832</v>
      </c>
      <c r="J139" s="2" t="s">
        <v>2420</v>
      </c>
      <c r="K139" s="2" t="s">
        <v>2421</v>
      </c>
      <c r="L139" s="2" t="s">
        <v>1593</v>
      </c>
      <c r="M139" s="2"/>
      <c r="N139" s="2" t="s">
        <v>1923</v>
      </c>
    </row>
    <row r="140">
      <c r="A140" s="2">
        <v>139</v>
      </c>
      <c r="B140" s="2" t="s">
        <v>572</v>
      </c>
      <c r="C140" s="2" t="s">
        <v>41</v>
      </c>
      <c r="D140" s="2" t="s">
        <v>833</v>
      </c>
      <c r="E140" s="2" t="s">
        <v>1924</v>
      </c>
      <c r="F140" s="2" t="s">
        <v>836</v>
      </c>
      <c r="G140" s="2" t="s">
        <v>1596</v>
      </c>
      <c r="H140" s="2" t="s">
        <v>837</v>
      </c>
      <c r="I140" s="2" t="s">
        <v>838</v>
      </c>
      <c r="J140" s="2" t="s">
        <v>2422</v>
      </c>
      <c r="K140" s="2" t="s">
        <v>2423</v>
      </c>
      <c r="L140" s="2" t="s">
        <v>1619</v>
      </c>
      <c r="M140" s="2"/>
      <c r="N140" s="2" t="s">
        <v>1925</v>
      </c>
    </row>
    <row r="141">
      <c r="A141" s="2">
        <v>140</v>
      </c>
      <c r="B141" s="2" t="s">
        <v>572</v>
      </c>
      <c r="C141" s="2" t="s">
        <v>110</v>
      </c>
      <c r="D141" s="2" t="s">
        <v>839</v>
      </c>
      <c r="E141" s="2" t="s">
        <v>1926</v>
      </c>
      <c r="F141" s="2" t="s">
        <v>841</v>
      </c>
      <c r="G141" s="2" t="s">
        <v>1927</v>
      </c>
      <c r="H141" s="2" t="s">
        <v>842</v>
      </c>
      <c r="I141" s="2" t="s">
        <v>843</v>
      </c>
      <c r="J141" s="2"/>
      <c r="K141" s="2" t="s">
        <v>2424</v>
      </c>
      <c r="L141" s="2" t="s">
        <v>1593</v>
      </c>
      <c r="M141" s="2"/>
      <c r="N141" s="2" t="s">
        <v>1928</v>
      </c>
    </row>
    <row r="142">
      <c r="A142" s="2">
        <v>141</v>
      </c>
      <c r="B142" s="2" t="s">
        <v>572</v>
      </c>
      <c r="C142" s="2" t="s">
        <v>41</v>
      </c>
      <c r="D142" s="2" t="s">
        <v>844</v>
      </c>
      <c r="E142" s="2" t="s">
        <v>1929</v>
      </c>
      <c r="F142" s="2" t="s">
        <v>705</v>
      </c>
      <c r="G142" s="2" t="s">
        <v>1652</v>
      </c>
      <c r="H142" s="2" t="s">
        <v>847</v>
      </c>
      <c r="I142" s="2" t="s">
        <v>848</v>
      </c>
      <c r="J142" s="2" t="s">
        <v>2425</v>
      </c>
      <c r="K142" s="2" t="s">
        <v>2426</v>
      </c>
      <c r="L142" s="2" t="s">
        <v>1593</v>
      </c>
      <c r="M142" s="2"/>
      <c r="N142" s="2" t="s">
        <v>1930</v>
      </c>
    </row>
    <row r="143">
      <c r="A143" s="2">
        <v>142</v>
      </c>
      <c r="B143" s="2" t="s">
        <v>572</v>
      </c>
      <c r="C143" s="2" t="s">
        <v>117</v>
      </c>
      <c r="D143" s="2" t="s">
        <v>849</v>
      </c>
      <c r="E143" s="2" t="s">
        <v>1931</v>
      </c>
      <c r="F143" s="2" t="s">
        <v>851</v>
      </c>
      <c r="G143" s="2" t="s">
        <v>1742</v>
      </c>
      <c r="H143" s="2" t="s">
        <v>852</v>
      </c>
      <c r="I143" s="2" t="s">
        <v>853</v>
      </c>
      <c r="J143" s="2" t="s">
        <v>2427</v>
      </c>
      <c r="K143" s="2" t="s">
        <v>2428</v>
      </c>
      <c r="L143" s="2" t="s">
        <v>1593</v>
      </c>
      <c r="M143" s="2"/>
      <c r="N143" s="2" t="s">
        <v>1932</v>
      </c>
    </row>
    <row r="144">
      <c r="A144" s="2">
        <v>143</v>
      </c>
      <c r="B144" s="2" t="s">
        <v>572</v>
      </c>
      <c r="C144" s="2" t="s">
        <v>192</v>
      </c>
      <c r="D144" s="2" t="s">
        <v>854</v>
      </c>
      <c r="E144" s="2" t="s">
        <v>1933</v>
      </c>
      <c r="F144" s="2" t="s">
        <v>382</v>
      </c>
      <c r="G144" s="2" t="s">
        <v>1934</v>
      </c>
      <c r="H144" s="2" t="s">
        <v>857</v>
      </c>
      <c r="I144" s="2" t="s">
        <v>858</v>
      </c>
      <c r="J144" s="2" t="s">
        <v>2429</v>
      </c>
      <c r="K144" s="2"/>
      <c r="L144" s="2" t="s">
        <v>1593</v>
      </c>
      <c r="M144" s="2" t="s">
        <v>81</v>
      </c>
      <c r="N144" s="2" t="s">
        <v>1935</v>
      </c>
    </row>
    <row r="145">
      <c r="A145" s="2">
        <v>144</v>
      </c>
      <c r="B145" s="2" t="s">
        <v>572</v>
      </c>
      <c r="C145" s="2" t="s">
        <v>117</v>
      </c>
      <c r="D145" s="2" t="s">
        <v>859</v>
      </c>
      <c r="E145" s="2" t="s">
        <v>1936</v>
      </c>
      <c r="F145" s="2" t="s">
        <v>107</v>
      </c>
      <c r="G145" s="2" t="s">
        <v>1662</v>
      </c>
      <c r="H145" s="2" t="s">
        <v>861</v>
      </c>
      <c r="I145" s="2" t="s">
        <v>862</v>
      </c>
      <c r="J145" s="2" t="s">
        <v>2430</v>
      </c>
      <c r="K145" s="2" t="s">
        <v>2431</v>
      </c>
      <c r="L145" s="2" t="s">
        <v>1593</v>
      </c>
      <c r="M145" s="2"/>
      <c r="N145" s="2" t="s">
        <v>1937</v>
      </c>
    </row>
    <row r="146">
      <c r="A146" s="2">
        <v>145</v>
      </c>
      <c r="B146" s="2" t="s">
        <v>572</v>
      </c>
      <c r="C146" s="2" t="s">
        <v>41</v>
      </c>
      <c r="D146" s="2" t="s">
        <v>863</v>
      </c>
      <c r="E146" s="2" t="s">
        <v>1938</v>
      </c>
      <c r="F146" s="2" t="s">
        <v>865</v>
      </c>
      <c r="G146" s="2" t="s">
        <v>1596</v>
      </c>
      <c r="H146" s="2" t="s">
        <v>866</v>
      </c>
      <c r="I146" s="2" t="s">
        <v>867</v>
      </c>
      <c r="J146" s="2" t="s">
        <v>2432</v>
      </c>
      <c r="K146" s="2"/>
      <c r="L146" s="2" t="s">
        <v>1593</v>
      </c>
      <c r="M146" s="2" t="s">
        <v>145</v>
      </c>
      <c r="N146" s="2" t="s">
        <v>1939</v>
      </c>
    </row>
    <row r="147">
      <c r="A147" s="2">
        <v>146</v>
      </c>
      <c r="B147" s="2" t="s">
        <v>572</v>
      </c>
      <c r="C147" s="2" t="s">
        <v>110</v>
      </c>
      <c r="D147" s="2" t="s">
        <v>868</v>
      </c>
      <c r="E147" s="2" t="s">
        <v>1940</v>
      </c>
      <c r="F147" s="2" t="s">
        <v>422</v>
      </c>
      <c r="G147" s="2" t="s">
        <v>1941</v>
      </c>
      <c r="H147" s="2" t="s">
        <v>869</v>
      </c>
      <c r="I147" s="2" t="s">
        <v>870</v>
      </c>
      <c r="J147" s="2" t="s">
        <v>2433</v>
      </c>
      <c r="K147" s="2" t="s">
        <v>2434</v>
      </c>
      <c r="L147" s="2" t="s">
        <v>1593</v>
      </c>
      <c r="M147" s="2" t="s">
        <v>81</v>
      </c>
      <c r="N147" s="2" t="s">
        <v>1942</v>
      </c>
    </row>
    <row r="148">
      <c r="A148" s="2">
        <v>147</v>
      </c>
      <c r="B148" s="2" t="s">
        <v>572</v>
      </c>
      <c r="C148" s="2" t="s">
        <v>117</v>
      </c>
      <c r="D148" s="2" t="s">
        <v>871</v>
      </c>
      <c r="E148" s="2" t="s">
        <v>1943</v>
      </c>
      <c r="F148" s="2" t="s">
        <v>874</v>
      </c>
      <c r="G148" s="2" t="s">
        <v>1675</v>
      </c>
      <c r="H148" s="2" t="s">
        <v>875</v>
      </c>
      <c r="I148" s="2" t="s">
        <v>876</v>
      </c>
      <c r="J148" s="2" t="s">
        <v>2435</v>
      </c>
      <c r="K148" s="2" t="s">
        <v>2436</v>
      </c>
      <c r="L148" s="2" t="s">
        <v>1593</v>
      </c>
      <c r="M148" s="2"/>
      <c r="N148" s="2" t="s">
        <v>1944</v>
      </c>
    </row>
    <row r="149">
      <c r="A149" s="2">
        <v>148</v>
      </c>
      <c r="B149" s="2" t="s">
        <v>572</v>
      </c>
      <c r="C149" s="2" t="s">
        <v>117</v>
      </c>
      <c r="D149" s="2" t="s">
        <v>877</v>
      </c>
      <c r="E149" s="2" t="s">
        <v>1945</v>
      </c>
      <c r="F149" s="2" t="s">
        <v>67</v>
      </c>
      <c r="G149" s="2" t="s">
        <v>1733</v>
      </c>
      <c r="H149" s="2" t="s">
        <v>880</v>
      </c>
      <c r="I149" s="2" t="s">
        <v>881</v>
      </c>
      <c r="J149" s="2" t="s">
        <v>2437</v>
      </c>
      <c r="K149" s="2" t="s">
        <v>2438</v>
      </c>
      <c r="L149" s="2" t="s">
        <v>1593</v>
      </c>
      <c r="M149" s="2" t="s">
        <v>191</v>
      </c>
      <c r="N149" s="2" t="s">
        <v>1946</v>
      </c>
    </row>
    <row r="150">
      <c r="A150" s="2">
        <v>149</v>
      </c>
      <c r="B150" s="2" t="s">
        <v>572</v>
      </c>
      <c r="C150" s="2" t="s">
        <v>56</v>
      </c>
      <c r="D150" s="2" t="s">
        <v>882</v>
      </c>
      <c r="E150" s="2" t="s">
        <v>1947</v>
      </c>
      <c r="F150" s="2" t="s">
        <v>67</v>
      </c>
      <c r="G150" s="2" t="s">
        <v>1712</v>
      </c>
      <c r="H150" s="2" t="s">
        <v>884</v>
      </c>
      <c r="I150" s="2" t="s">
        <v>885</v>
      </c>
      <c r="J150" s="2" t="s">
        <v>2439</v>
      </c>
      <c r="K150" s="2" t="s">
        <v>2440</v>
      </c>
      <c r="L150" s="2" t="s">
        <v>1593</v>
      </c>
      <c r="M150" s="2"/>
      <c r="N150" s="2" t="s">
        <v>1948</v>
      </c>
    </row>
    <row r="151">
      <c r="A151" s="2">
        <v>150</v>
      </c>
      <c r="B151" s="2" t="s">
        <v>572</v>
      </c>
      <c r="C151" s="2" t="s">
        <v>117</v>
      </c>
      <c r="D151" s="2" t="s">
        <v>886</v>
      </c>
      <c r="E151" s="2" t="s">
        <v>1949</v>
      </c>
      <c r="F151" s="2" t="s">
        <v>889</v>
      </c>
      <c r="G151" s="2" t="s">
        <v>1652</v>
      </c>
      <c r="H151" s="2" t="s">
        <v>890</v>
      </c>
      <c r="I151" s="2" t="s">
        <v>891</v>
      </c>
      <c r="J151" s="2"/>
      <c r="K151" s="2" t="s">
        <v>2441</v>
      </c>
      <c r="L151" s="2" t="s">
        <v>1593</v>
      </c>
      <c r="M151" s="2"/>
      <c r="N151" s="2" t="s">
        <v>1950</v>
      </c>
    </row>
    <row r="152">
      <c r="A152" s="2">
        <v>151</v>
      </c>
      <c r="B152" s="2" t="s">
        <v>572</v>
      </c>
      <c r="C152" s="2" t="s">
        <v>82</v>
      </c>
      <c r="D152" s="2" t="s">
        <v>892</v>
      </c>
      <c r="E152" s="2" t="s">
        <v>1951</v>
      </c>
      <c r="F152" s="2" t="s">
        <v>397</v>
      </c>
      <c r="G152" s="2" t="s">
        <v>1726</v>
      </c>
      <c r="H152" s="2" t="s">
        <v>894</v>
      </c>
      <c r="I152" s="2" t="s">
        <v>895</v>
      </c>
      <c r="J152" s="2" t="s">
        <v>2442</v>
      </c>
      <c r="K152" s="2" t="s">
        <v>2443</v>
      </c>
      <c r="L152" s="2" t="s">
        <v>1593</v>
      </c>
      <c r="M152" s="2"/>
      <c r="N152" s="2" t="s">
        <v>1952</v>
      </c>
    </row>
    <row r="153">
      <c r="A153" s="2">
        <v>152</v>
      </c>
      <c r="B153" s="2" t="s">
        <v>572</v>
      </c>
      <c r="C153" s="2" t="s">
        <v>56</v>
      </c>
      <c r="D153" s="2" t="s">
        <v>896</v>
      </c>
      <c r="E153" s="2" t="s">
        <v>1953</v>
      </c>
      <c r="F153" s="2" t="s">
        <v>78</v>
      </c>
      <c r="G153" s="2" t="s">
        <v>1954</v>
      </c>
      <c r="H153" s="2" t="s">
        <v>900</v>
      </c>
      <c r="I153" s="2" t="s">
        <v>901</v>
      </c>
      <c r="J153" s="2"/>
      <c r="K153" s="2" t="s">
        <v>2444</v>
      </c>
      <c r="L153" s="2" t="s">
        <v>1593</v>
      </c>
      <c r="M153" s="2" t="s">
        <v>81</v>
      </c>
      <c r="N153" s="2" t="s">
        <v>1955</v>
      </c>
    </row>
    <row r="154">
      <c r="A154" s="2">
        <v>153</v>
      </c>
      <c r="B154" s="2" t="s">
        <v>572</v>
      </c>
      <c r="C154" s="2" t="s">
        <v>239</v>
      </c>
      <c r="D154" s="2" t="s">
        <v>902</v>
      </c>
      <c r="E154" s="2" t="s">
        <v>1956</v>
      </c>
      <c r="F154" s="2" t="s">
        <v>904</v>
      </c>
      <c r="G154" s="2" t="s">
        <v>1616</v>
      </c>
      <c r="H154" s="2" t="s">
        <v>905</v>
      </c>
      <c r="I154" s="2" t="s">
        <v>906</v>
      </c>
      <c r="J154" s="2" t="s">
        <v>2445</v>
      </c>
      <c r="K154" s="2" t="s">
        <v>2446</v>
      </c>
      <c r="L154" s="2" t="s">
        <v>1593</v>
      </c>
      <c r="M154" s="2" t="s">
        <v>81</v>
      </c>
      <c r="N154" s="2" t="s">
        <v>1957</v>
      </c>
    </row>
    <row r="155">
      <c r="A155" s="2">
        <v>154</v>
      </c>
      <c r="B155" s="2" t="s">
        <v>572</v>
      </c>
      <c r="C155" s="2" t="s">
        <v>117</v>
      </c>
      <c r="D155" s="2" t="s">
        <v>907</v>
      </c>
      <c r="E155" s="2" t="s">
        <v>1958</v>
      </c>
      <c r="F155" s="2" t="s">
        <v>910</v>
      </c>
      <c r="G155" s="2" t="s">
        <v>1606</v>
      </c>
      <c r="H155" s="2" t="s">
        <v>911</v>
      </c>
      <c r="I155" s="2" t="s">
        <v>912</v>
      </c>
      <c r="J155" s="2" t="s">
        <v>2447</v>
      </c>
      <c r="K155" s="2" t="s">
        <v>2448</v>
      </c>
      <c r="L155" s="2" t="s">
        <v>1593</v>
      </c>
      <c r="M155" s="2" t="s">
        <v>81</v>
      </c>
      <c r="N155" s="2" t="s">
        <v>1959</v>
      </c>
    </row>
    <row r="156">
      <c r="A156" s="2">
        <v>155</v>
      </c>
      <c r="B156" s="2" t="s">
        <v>572</v>
      </c>
      <c r="C156" s="2" t="s">
        <v>221</v>
      </c>
      <c r="D156" s="2" t="s">
        <v>913</v>
      </c>
      <c r="E156" s="2" t="s">
        <v>1960</v>
      </c>
      <c r="F156" s="2" t="s">
        <v>281</v>
      </c>
      <c r="G156" s="2" t="s">
        <v>1961</v>
      </c>
      <c r="H156" s="2" t="s">
        <v>915</v>
      </c>
      <c r="I156" s="2" t="s">
        <v>916</v>
      </c>
      <c r="J156" s="2"/>
      <c r="K156" s="2" t="s">
        <v>2449</v>
      </c>
      <c r="L156" s="2" t="s">
        <v>1593</v>
      </c>
      <c r="M156" s="2"/>
      <c r="N156" s="2" t="s">
        <v>1962</v>
      </c>
    </row>
    <row r="157">
      <c r="A157" s="2">
        <v>156</v>
      </c>
      <c r="B157" s="2" t="s">
        <v>572</v>
      </c>
      <c r="C157" s="2" t="s">
        <v>117</v>
      </c>
      <c r="D157" s="2" t="s">
        <v>917</v>
      </c>
      <c r="E157" s="2" t="s">
        <v>1963</v>
      </c>
      <c r="F157" s="2" t="s">
        <v>919</v>
      </c>
      <c r="G157" s="2" t="s">
        <v>1791</v>
      </c>
      <c r="H157" s="2" t="s">
        <v>920</v>
      </c>
      <c r="I157" s="2" t="s">
        <v>921</v>
      </c>
      <c r="J157" s="2"/>
      <c r="K157" s="2" t="s">
        <v>2450</v>
      </c>
      <c r="L157" s="2" t="s">
        <v>1593</v>
      </c>
      <c r="M157" s="2"/>
      <c r="N157" s="2" t="s">
        <v>1964</v>
      </c>
    </row>
    <row r="158">
      <c r="A158" s="2">
        <v>157</v>
      </c>
      <c r="B158" s="2" t="s">
        <v>572</v>
      </c>
      <c r="C158" s="2" t="s">
        <v>117</v>
      </c>
      <c r="D158" s="2" t="s">
        <v>922</v>
      </c>
      <c r="E158" s="2" t="s">
        <v>1965</v>
      </c>
      <c r="F158" s="2" t="s">
        <v>344</v>
      </c>
      <c r="G158" s="2" t="s">
        <v>1596</v>
      </c>
      <c r="H158" s="2" t="s">
        <v>924</v>
      </c>
      <c r="I158" s="2" t="s">
        <v>925</v>
      </c>
      <c r="J158" s="2" t="s">
        <v>2451</v>
      </c>
      <c r="K158" s="2" t="s">
        <v>2452</v>
      </c>
      <c r="L158" s="2" t="s">
        <v>1593</v>
      </c>
      <c r="M158" s="2"/>
      <c r="N158" s="2" t="s">
        <v>1966</v>
      </c>
    </row>
    <row r="159">
      <c r="A159" s="2">
        <v>158</v>
      </c>
      <c r="B159" s="2" t="s">
        <v>572</v>
      </c>
      <c r="C159" s="2" t="s">
        <v>117</v>
      </c>
      <c r="D159" s="2" t="s">
        <v>926</v>
      </c>
      <c r="E159" s="2" t="s">
        <v>1967</v>
      </c>
      <c r="F159" s="2" t="s">
        <v>135</v>
      </c>
      <c r="G159" s="2" t="s">
        <v>1606</v>
      </c>
      <c r="H159" s="2" t="s">
        <v>928</v>
      </c>
      <c r="I159" s="2" t="s">
        <v>929</v>
      </c>
      <c r="J159" s="2" t="s">
        <v>2453</v>
      </c>
      <c r="K159" s="2" t="s">
        <v>2454</v>
      </c>
      <c r="L159" s="2" t="s">
        <v>1593</v>
      </c>
      <c r="M159" s="2"/>
      <c r="N159" s="2" t="s">
        <v>1968</v>
      </c>
    </row>
    <row r="160">
      <c r="A160" s="2">
        <v>159</v>
      </c>
      <c r="B160" s="2" t="s">
        <v>572</v>
      </c>
      <c r="C160" s="2" t="s">
        <v>221</v>
      </c>
      <c r="D160" s="2" t="s">
        <v>930</v>
      </c>
      <c r="E160" s="2" t="s">
        <v>1969</v>
      </c>
      <c r="F160" s="2" t="s">
        <v>165</v>
      </c>
      <c r="G160" s="2" t="s">
        <v>1970</v>
      </c>
      <c r="H160" s="2" t="s">
        <v>933</v>
      </c>
      <c r="I160" s="2" t="s">
        <v>934</v>
      </c>
      <c r="J160" s="2" t="s">
        <v>2455</v>
      </c>
      <c r="K160" s="2" t="s">
        <v>2456</v>
      </c>
      <c r="L160" s="2" t="s">
        <v>1593</v>
      </c>
      <c r="M160" s="2" t="s">
        <v>81</v>
      </c>
      <c r="N160" s="2" t="s">
        <v>1971</v>
      </c>
    </row>
    <row r="161">
      <c r="A161" s="2">
        <v>160</v>
      </c>
      <c r="B161" s="2" t="s">
        <v>572</v>
      </c>
      <c r="C161" s="2" t="s">
        <v>192</v>
      </c>
      <c r="D161" s="2" t="s">
        <v>935</v>
      </c>
      <c r="E161" s="2" t="s">
        <v>1972</v>
      </c>
      <c r="F161" s="2" t="s">
        <v>938</v>
      </c>
      <c r="G161" s="2" t="s">
        <v>1973</v>
      </c>
      <c r="H161" s="2" t="s">
        <v>939</v>
      </c>
      <c r="I161" s="2" t="s">
        <v>940</v>
      </c>
      <c r="J161" s="2"/>
      <c r="K161" s="2" t="s">
        <v>2457</v>
      </c>
      <c r="L161" s="2" t="s">
        <v>1593</v>
      </c>
      <c r="M161" s="2" t="s">
        <v>563</v>
      </c>
      <c r="N161" s="2" t="s">
        <v>1974</v>
      </c>
    </row>
    <row r="162">
      <c r="A162" s="2">
        <v>161</v>
      </c>
      <c r="B162" s="2" t="s">
        <v>572</v>
      </c>
      <c r="C162" s="2" t="s">
        <v>41</v>
      </c>
      <c r="D162" s="2" t="s">
        <v>941</v>
      </c>
      <c r="E162" s="2" t="s">
        <v>1975</v>
      </c>
      <c r="F162" s="2" t="s">
        <v>946</v>
      </c>
      <c r="G162" s="2" t="s">
        <v>1596</v>
      </c>
      <c r="H162" s="2" t="s">
        <v>947</v>
      </c>
      <c r="I162" s="2" t="s">
        <v>948</v>
      </c>
      <c r="J162" s="2" t="s">
        <v>2458</v>
      </c>
      <c r="K162" s="2"/>
      <c r="L162" s="2" t="s">
        <v>1593</v>
      </c>
      <c r="M162" s="2"/>
      <c r="N162" s="2" t="s">
        <v>1976</v>
      </c>
    </row>
    <row r="163">
      <c r="A163" s="2">
        <v>162</v>
      </c>
      <c r="B163" s="2" t="s">
        <v>572</v>
      </c>
      <c r="C163" s="2" t="s">
        <v>117</v>
      </c>
      <c r="D163" s="2" t="s">
        <v>949</v>
      </c>
      <c r="E163" s="2" t="s">
        <v>1977</v>
      </c>
      <c r="F163" s="2" t="s">
        <v>705</v>
      </c>
      <c r="G163" s="2" t="s">
        <v>1625</v>
      </c>
      <c r="H163" s="2" t="s">
        <v>951</v>
      </c>
      <c r="I163" s="2" t="s">
        <v>952</v>
      </c>
      <c r="J163" s="2" t="s">
        <v>2459</v>
      </c>
      <c r="K163" s="2" t="s">
        <v>2460</v>
      </c>
      <c r="L163" s="2" t="s">
        <v>1593</v>
      </c>
      <c r="M163" s="2"/>
      <c r="N163" s="2" t="s">
        <v>1978</v>
      </c>
    </row>
    <row r="164">
      <c r="A164" s="2">
        <v>163</v>
      </c>
      <c r="B164" s="2" t="s">
        <v>572</v>
      </c>
      <c r="C164" s="2" t="s">
        <v>56</v>
      </c>
      <c r="D164" s="2" t="s">
        <v>953</v>
      </c>
      <c r="E164" s="2" t="s">
        <v>1979</v>
      </c>
      <c r="F164" s="2" t="s">
        <v>904</v>
      </c>
      <c r="G164" s="2" t="s">
        <v>1644</v>
      </c>
      <c r="H164" s="2" t="s">
        <v>955</v>
      </c>
      <c r="I164" s="2" t="s">
        <v>956</v>
      </c>
      <c r="J164" s="2" t="s">
        <v>2461</v>
      </c>
      <c r="K164" s="2" t="s">
        <v>2462</v>
      </c>
      <c r="L164" s="2" t="s">
        <v>1593</v>
      </c>
      <c r="M164" s="2" t="s">
        <v>81</v>
      </c>
      <c r="N164" s="2" t="s">
        <v>1980</v>
      </c>
    </row>
    <row r="165">
      <c r="A165" s="2">
        <v>164</v>
      </c>
      <c r="B165" s="2" t="s">
        <v>572</v>
      </c>
      <c r="C165" s="2" t="s">
        <v>239</v>
      </c>
      <c r="D165" s="2" t="s">
        <v>957</v>
      </c>
      <c r="E165" s="2" t="s">
        <v>1981</v>
      </c>
      <c r="F165" s="2" t="s">
        <v>418</v>
      </c>
      <c r="G165" s="2" t="s">
        <v>1675</v>
      </c>
      <c r="H165" s="2" t="s">
        <v>960</v>
      </c>
      <c r="I165" s="2" t="s">
        <v>961</v>
      </c>
      <c r="J165" s="2" t="s">
        <v>2463</v>
      </c>
      <c r="K165" s="2" t="s">
        <v>2464</v>
      </c>
      <c r="L165" s="2" t="s">
        <v>1593</v>
      </c>
      <c r="M165" s="2"/>
      <c r="N165" s="2" t="s">
        <v>1982</v>
      </c>
    </row>
    <row r="166">
      <c r="A166" s="2">
        <v>165</v>
      </c>
      <c r="B166" s="2" t="s">
        <v>572</v>
      </c>
      <c r="C166" s="2" t="s">
        <v>239</v>
      </c>
      <c r="D166" s="2" t="s">
        <v>962</v>
      </c>
      <c r="E166" s="2" t="s">
        <v>1983</v>
      </c>
      <c r="F166" s="2" t="s">
        <v>964</v>
      </c>
      <c r="G166" s="2" t="s">
        <v>1733</v>
      </c>
      <c r="H166" s="2" t="s">
        <v>965</v>
      </c>
      <c r="I166" s="2" t="s">
        <v>966</v>
      </c>
      <c r="J166" s="2" t="s">
        <v>2465</v>
      </c>
      <c r="K166" s="2"/>
      <c r="L166" s="2" t="s">
        <v>1593</v>
      </c>
      <c r="M166" s="2" t="s">
        <v>81</v>
      </c>
      <c r="N166" s="2" t="s">
        <v>1984</v>
      </c>
    </row>
    <row r="167">
      <c r="A167" s="2">
        <v>166</v>
      </c>
      <c r="B167" s="2" t="s">
        <v>572</v>
      </c>
      <c r="C167" s="2" t="s">
        <v>82</v>
      </c>
      <c r="D167" s="2" t="s">
        <v>967</v>
      </c>
      <c r="E167" s="2" t="s">
        <v>1985</v>
      </c>
      <c r="F167" s="2" t="s">
        <v>418</v>
      </c>
      <c r="G167" s="2" t="s">
        <v>1879</v>
      </c>
      <c r="H167" s="2" t="s">
        <v>970</v>
      </c>
      <c r="I167" s="2" t="s">
        <v>971</v>
      </c>
      <c r="J167" s="2" t="s">
        <v>2466</v>
      </c>
      <c r="K167" s="2" t="s">
        <v>2467</v>
      </c>
      <c r="L167" s="2" t="s">
        <v>1593</v>
      </c>
      <c r="M167" s="2"/>
      <c r="N167" s="2" t="s">
        <v>1986</v>
      </c>
    </row>
    <row r="168">
      <c r="A168" s="2">
        <v>167</v>
      </c>
      <c r="B168" s="2" t="s">
        <v>572</v>
      </c>
      <c r="C168" s="2" t="s">
        <v>41</v>
      </c>
      <c r="D168" s="2" t="s">
        <v>972</v>
      </c>
      <c r="E168" s="2" t="s">
        <v>1987</v>
      </c>
      <c r="F168" s="2" t="s">
        <v>976</v>
      </c>
      <c r="G168" s="2" t="s">
        <v>1596</v>
      </c>
      <c r="H168" s="2" t="s">
        <v>977</v>
      </c>
      <c r="I168" s="2" t="s">
        <v>978</v>
      </c>
      <c r="J168" s="2" t="s">
        <v>2468</v>
      </c>
      <c r="K168" s="2" t="s">
        <v>2469</v>
      </c>
      <c r="L168" s="2" t="s">
        <v>1593</v>
      </c>
      <c r="M168" s="2" t="s">
        <v>81</v>
      </c>
      <c r="N168" s="2" t="s">
        <v>1988</v>
      </c>
    </row>
    <row r="169">
      <c r="A169" s="2">
        <v>168</v>
      </c>
      <c r="B169" s="2" t="s">
        <v>980</v>
      </c>
      <c r="C169" s="2" t="s">
        <v>82</v>
      </c>
      <c r="D169" s="2" t="s">
        <v>979</v>
      </c>
      <c r="E169" s="2" t="s">
        <v>1989</v>
      </c>
      <c r="F169" s="2" t="s">
        <v>987</v>
      </c>
      <c r="G169" s="2" t="s">
        <v>1606</v>
      </c>
      <c r="H169" s="2" t="s">
        <v>988</v>
      </c>
      <c r="I169" s="2" t="s">
        <v>989</v>
      </c>
      <c r="J169" s="2" t="s">
        <v>2470</v>
      </c>
      <c r="K169" s="2" t="s">
        <v>2471</v>
      </c>
      <c r="L169" s="2" t="s">
        <v>1619</v>
      </c>
      <c r="M169" s="2"/>
      <c r="N169" s="2" t="s">
        <v>1990</v>
      </c>
    </row>
    <row r="170">
      <c r="A170" s="2">
        <v>169</v>
      </c>
      <c r="B170" s="2" t="s">
        <v>980</v>
      </c>
      <c r="C170" s="2" t="s">
        <v>131</v>
      </c>
      <c r="D170" s="2" t="s">
        <v>990</v>
      </c>
      <c r="E170" s="2" t="s">
        <v>1991</v>
      </c>
      <c r="F170" s="2" t="s">
        <v>994</v>
      </c>
      <c r="G170" s="2" t="s">
        <v>1992</v>
      </c>
      <c r="H170" s="2" t="s">
        <v>995</v>
      </c>
      <c r="I170" s="2" t="s">
        <v>996</v>
      </c>
      <c r="J170" s="2"/>
      <c r="K170" s="2" t="s">
        <v>2472</v>
      </c>
      <c r="L170" s="2" t="s">
        <v>1593</v>
      </c>
      <c r="M170" s="2" t="s">
        <v>563</v>
      </c>
      <c r="N170" s="2" t="s">
        <v>1993</v>
      </c>
    </row>
    <row r="171">
      <c r="A171" s="2">
        <v>170</v>
      </c>
      <c r="B171" s="2" t="s">
        <v>980</v>
      </c>
      <c r="C171" s="2" t="s">
        <v>117</v>
      </c>
      <c r="D171" s="2" t="s">
        <v>997</v>
      </c>
      <c r="E171" s="2" t="s">
        <v>1994</v>
      </c>
      <c r="F171" s="2" t="s">
        <v>1001</v>
      </c>
      <c r="G171" s="2" t="s">
        <v>1596</v>
      </c>
      <c r="H171" s="2" t="s">
        <v>1002</v>
      </c>
      <c r="I171" s="2" t="s">
        <v>1003</v>
      </c>
      <c r="J171" s="2" t="s">
        <v>2473</v>
      </c>
      <c r="K171" s="2" t="s">
        <v>2474</v>
      </c>
      <c r="L171" s="2" t="s">
        <v>1619</v>
      </c>
      <c r="M171" s="2"/>
      <c r="N171" s="2" t="s">
        <v>1995</v>
      </c>
    </row>
    <row r="172">
      <c r="A172" s="2">
        <v>171</v>
      </c>
      <c r="B172" s="2" t="s">
        <v>980</v>
      </c>
      <c r="C172" s="2" t="s">
        <v>117</v>
      </c>
      <c r="D172" s="2" t="s">
        <v>1004</v>
      </c>
      <c r="E172" s="2" t="s">
        <v>1996</v>
      </c>
      <c r="F172" s="2" t="s">
        <v>1007</v>
      </c>
      <c r="G172" s="2" t="s">
        <v>1596</v>
      </c>
      <c r="H172" s="2" t="s">
        <v>1008</v>
      </c>
      <c r="I172" s="2" t="s">
        <v>1009</v>
      </c>
      <c r="J172" s="2" t="s">
        <v>2475</v>
      </c>
      <c r="K172" s="2"/>
      <c r="L172" s="2" t="s">
        <v>1619</v>
      </c>
      <c r="M172" s="2"/>
      <c r="N172" s="2" t="s">
        <v>1997</v>
      </c>
    </row>
    <row r="173">
      <c r="A173" s="2">
        <v>172</v>
      </c>
      <c r="B173" s="2" t="s">
        <v>980</v>
      </c>
      <c r="C173" s="2" t="s">
        <v>82</v>
      </c>
      <c r="D173" s="2" t="s">
        <v>1010</v>
      </c>
      <c r="E173" s="2" t="s">
        <v>1998</v>
      </c>
      <c r="F173" s="2" t="s">
        <v>1014</v>
      </c>
      <c r="G173" s="2" t="s">
        <v>1634</v>
      </c>
      <c r="H173" s="2" t="s">
        <v>1015</v>
      </c>
      <c r="I173" s="2" t="s">
        <v>1016</v>
      </c>
      <c r="J173" s="2" t="s">
        <v>2476</v>
      </c>
      <c r="K173" s="2"/>
      <c r="L173" s="2" t="s">
        <v>1619</v>
      </c>
      <c r="M173" s="2"/>
      <c r="N173" s="2" t="s">
        <v>1999</v>
      </c>
    </row>
    <row r="174">
      <c r="A174" s="2">
        <v>173</v>
      </c>
      <c r="B174" s="2" t="s">
        <v>980</v>
      </c>
      <c r="C174" s="2" t="s">
        <v>82</v>
      </c>
      <c r="D174" s="2" t="s">
        <v>1017</v>
      </c>
      <c r="E174" s="2" t="s">
        <v>2000</v>
      </c>
      <c r="F174" s="2" t="s">
        <v>1019</v>
      </c>
      <c r="G174" s="2" t="s">
        <v>1637</v>
      </c>
      <c r="H174" s="2" t="s">
        <v>1020</v>
      </c>
      <c r="I174" s="2" t="s">
        <v>1021</v>
      </c>
      <c r="J174" s="2" t="s">
        <v>2477</v>
      </c>
      <c r="K174" s="2" t="s">
        <v>2478</v>
      </c>
      <c r="L174" s="2" t="s">
        <v>1593</v>
      </c>
      <c r="M174" s="2" t="s">
        <v>191</v>
      </c>
      <c r="N174" s="2" t="s">
        <v>2001</v>
      </c>
    </row>
    <row r="175">
      <c r="A175" s="2">
        <v>174</v>
      </c>
      <c r="B175" s="2" t="s">
        <v>980</v>
      </c>
      <c r="C175" s="2" t="s">
        <v>56</v>
      </c>
      <c r="D175" s="2" t="s">
        <v>1022</v>
      </c>
      <c r="E175" s="2" t="s">
        <v>2002</v>
      </c>
      <c r="F175" s="2" t="s">
        <v>1025</v>
      </c>
      <c r="G175" s="2" t="s">
        <v>1662</v>
      </c>
      <c r="H175" s="2" t="s">
        <v>1026</v>
      </c>
      <c r="I175" s="2" t="s">
        <v>1027</v>
      </c>
      <c r="J175" s="2"/>
      <c r="K175" s="2"/>
      <c r="L175" s="2" t="s">
        <v>1619</v>
      </c>
      <c r="M175" s="2"/>
      <c r="N175" s="2" t="s">
        <v>2003</v>
      </c>
    </row>
    <row r="176">
      <c r="A176" s="2">
        <v>175</v>
      </c>
      <c r="B176" s="2" t="s">
        <v>980</v>
      </c>
      <c r="C176" s="2" t="s">
        <v>117</v>
      </c>
      <c r="D176" s="2" t="s">
        <v>1028</v>
      </c>
      <c r="E176" s="2" t="s">
        <v>2004</v>
      </c>
      <c r="F176" s="2" t="s">
        <v>1030</v>
      </c>
      <c r="G176" s="2" t="s">
        <v>1791</v>
      </c>
      <c r="H176" s="2" t="s">
        <v>1031</v>
      </c>
      <c r="I176" s="2" t="s">
        <v>1032</v>
      </c>
      <c r="J176" s="2" t="s">
        <v>2479</v>
      </c>
      <c r="K176" s="2" t="s">
        <v>2480</v>
      </c>
      <c r="L176" s="2" t="s">
        <v>1619</v>
      </c>
      <c r="M176" s="2"/>
      <c r="N176" s="2" t="s">
        <v>2005</v>
      </c>
    </row>
    <row r="177">
      <c r="A177" s="2">
        <v>176</v>
      </c>
      <c r="B177" s="2" t="s">
        <v>980</v>
      </c>
      <c r="C177" s="2" t="s">
        <v>56</v>
      </c>
      <c r="D177" s="2" t="s">
        <v>1033</v>
      </c>
      <c r="E177" s="2" t="s">
        <v>2006</v>
      </c>
      <c r="F177" s="2" t="s">
        <v>1036</v>
      </c>
      <c r="G177" s="2" t="s">
        <v>2007</v>
      </c>
      <c r="H177" s="2" t="s">
        <v>1037</v>
      </c>
      <c r="I177" s="2" t="s">
        <v>1038</v>
      </c>
      <c r="J177" s="2" t="s">
        <v>2481</v>
      </c>
      <c r="K177" s="2"/>
      <c r="L177" s="2" t="s">
        <v>1593</v>
      </c>
      <c r="M177" s="2" t="s">
        <v>191</v>
      </c>
      <c r="N177" s="2" t="s">
        <v>2008</v>
      </c>
    </row>
    <row r="178">
      <c r="A178" s="2">
        <v>177</v>
      </c>
      <c r="B178" s="2" t="s">
        <v>980</v>
      </c>
      <c r="C178" s="2" t="s">
        <v>117</v>
      </c>
      <c r="D178" s="2" t="s">
        <v>1039</v>
      </c>
      <c r="E178" s="2" t="s">
        <v>2009</v>
      </c>
      <c r="F178" s="2" t="s">
        <v>1042</v>
      </c>
      <c r="G178" s="2" t="s">
        <v>1596</v>
      </c>
      <c r="H178" s="2" t="s">
        <v>1043</v>
      </c>
      <c r="I178" s="2" t="s">
        <v>1044</v>
      </c>
      <c r="J178" s="2" t="s">
        <v>2482</v>
      </c>
      <c r="K178" s="2" t="s">
        <v>2483</v>
      </c>
      <c r="L178" s="2" t="s">
        <v>1619</v>
      </c>
      <c r="M178" s="2"/>
      <c r="N178" s="2" t="s">
        <v>2010</v>
      </c>
    </row>
    <row r="179">
      <c r="A179" s="2">
        <v>178</v>
      </c>
      <c r="B179" s="2" t="s">
        <v>980</v>
      </c>
      <c r="C179" s="2" t="s">
        <v>117</v>
      </c>
      <c r="D179" s="2" t="s">
        <v>1045</v>
      </c>
      <c r="E179" s="2" t="s">
        <v>2011</v>
      </c>
      <c r="F179" s="2" t="s">
        <v>1048</v>
      </c>
      <c r="G179" s="2" t="s">
        <v>1596</v>
      </c>
      <c r="H179" s="2" t="s">
        <v>1049</v>
      </c>
      <c r="I179" s="2" t="s">
        <v>1050</v>
      </c>
      <c r="J179" s="2" t="s">
        <v>2484</v>
      </c>
      <c r="K179" s="2" t="s">
        <v>2485</v>
      </c>
      <c r="L179" s="2" t="s">
        <v>1619</v>
      </c>
      <c r="M179" s="2"/>
      <c r="N179" s="2" t="s">
        <v>2012</v>
      </c>
    </row>
    <row r="180">
      <c r="A180" s="2">
        <v>179</v>
      </c>
      <c r="B180" s="2" t="s">
        <v>980</v>
      </c>
      <c r="C180" s="2" t="s">
        <v>117</v>
      </c>
      <c r="D180" s="2" t="s">
        <v>1051</v>
      </c>
      <c r="E180" s="2" t="s">
        <v>2013</v>
      </c>
      <c r="F180" s="2" t="s">
        <v>1054</v>
      </c>
      <c r="G180" s="2" t="s">
        <v>1596</v>
      </c>
      <c r="H180" s="2" t="s">
        <v>1055</v>
      </c>
      <c r="I180" s="2" t="s">
        <v>1056</v>
      </c>
      <c r="J180" s="2" t="s">
        <v>2486</v>
      </c>
      <c r="K180" s="2" t="s">
        <v>2487</v>
      </c>
      <c r="L180" s="2" t="s">
        <v>1619</v>
      </c>
      <c r="M180" s="2"/>
      <c r="N180" s="2" t="s">
        <v>2014</v>
      </c>
    </row>
    <row r="181">
      <c r="A181" s="2">
        <v>180</v>
      </c>
      <c r="B181" s="2" t="s">
        <v>980</v>
      </c>
      <c r="C181" s="2" t="s">
        <v>117</v>
      </c>
      <c r="D181" s="2" t="s">
        <v>1057</v>
      </c>
      <c r="E181" s="2" t="s">
        <v>2015</v>
      </c>
      <c r="F181" s="2" t="s">
        <v>1059</v>
      </c>
      <c r="G181" s="2" t="s">
        <v>1652</v>
      </c>
      <c r="H181" s="2" t="s">
        <v>1060</v>
      </c>
      <c r="I181" s="2" t="s">
        <v>1061</v>
      </c>
      <c r="J181" s="2" t="s">
        <v>2488</v>
      </c>
      <c r="K181" s="2" t="s">
        <v>2489</v>
      </c>
      <c r="L181" s="2" t="s">
        <v>1619</v>
      </c>
      <c r="M181" s="2"/>
      <c r="N181" s="2" t="s">
        <v>2016</v>
      </c>
    </row>
    <row r="182">
      <c r="A182" s="2">
        <v>181</v>
      </c>
      <c r="B182" s="2" t="s">
        <v>980</v>
      </c>
      <c r="C182" s="2" t="s">
        <v>82</v>
      </c>
      <c r="D182" s="2" t="s">
        <v>1062</v>
      </c>
      <c r="E182" s="2" t="s">
        <v>2017</v>
      </c>
      <c r="F182" s="2" t="s">
        <v>1065</v>
      </c>
      <c r="G182" s="2" t="s">
        <v>1675</v>
      </c>
      <c r="H182" s="2" t="s">
        <v>1066</v>
      </c>
      <c r="I182" s="2" t="s">
        <v>1067</v>
      </c>
      <c r="J182" s="2" t="s">
        <v>2490</v>
      </c>
      <c r="K182" s="2" t="s">
        <v>2491</v>
      </c>
      <c r="L182" s="2" t="s">
        <v>1619</v>
      </c>
      <c r="M182" s="2"/>
      <c r="N182" s="2" t="s">
        <v>2018</v>
      </c>
    </row>
    <row r="183">
      <c r="A183" s="2">
        <v>182</v>
      </c>
      <c r="B183" s="2" t="s">
        <v>980</v>
      </c>
      <c r="C183" s="2" t="s">
        <v>41</v>
      </c>
      <c r="D183" s="2" t="s">
        <v>1068</v>
      </c>
      <c r="E183" s="2" t="s">
        <v>2019</v>
      </c>
      <c r="F183" s="2" t="s">
        <v>1071</v>
      </c>
      <c r="G183" s="2" t="s">
        <v>1596</v>
      </c>
      <c r="H183" s="2" t="s">
        <v>1072</v>
      </c>
      <c r="I183" s="2" t="s">
        <v>1073</v>
      </c>
      <c r="J183" s="2" t="s">
        <v>2492</v>
      </c>
      <c r="K183" s="2"/>
      <c r="L183" s="2" t="s">
        <v>1593</v>
      </c>
      <c r="M183" s="2"/>
      <c r="N183" s="2" t="s">
        <v>2020</v>
      </c>
    </row>
    <row r="184">
      <c r="A184" s="2">
        <v>183</v>
      </c>
      <c r="B184" s="2" t="s">
        <v>980</v>
      </c>
      <c r="C184" s="2" t="s">
        <v>82</v>
      </c>
      <c r="D184" s="2" t="s">
        <v>1074</v>
      </c>
      <c r="E184" s="2" t="s">
        <v>2021</v>
      </c>
      <c r="F184" s="2" t="s">
        <v>1078</v>
      </c>
      <c r="G184" s="2" t="s">
        <v>1667</v>
      </c>
      <c r="H184" s="2" t="s">
        <v>1079</v>
      </c>
      <c r="I184" s="2" t="s">
        <v>1080</v>
      </c>
      <c r="J184" s="2" t="s">
        <v>2493</v>
      </c>
      <c r="K184" s="2" t="s">
        <v>2494</v>
      </c>
      <c r="L184" s="2" t="s">
        <v>1593</v>
      </c>
      <c r="M184" s="2" t="s">
        <v>81</v>
      </c>
      <c r="N184" s="2" t="s">
        <v>2022</v>
      </c>
    </row>
    <row r="185">
      <c r="A185" s="2">
        <v>184</v>
      </c>
      <c r="B185" s="2" t="s">
        <v>980</v>
      </c>
      <c r="C185" s="2" t="s">
        <v>117</v>
      </c>
      <c r="D185" s="2" t="s">
        <v>1081</v>
      </c>
      <c r="E185" s="2" t="s">
        <v>2023</v>
      </c>
      <c r="F185" s="2" t="s">
        <v>1083</v>
      </c>
      <c r="G185" s="2" t="s">
        <v>1606</v>
      </c>
      <c r="H185" s="2" t="s">
        <v>1084</v>
      </c>
      <c r="I185" s="2" t="s">
        <v>1085</v>
      </c>
      <c r="J185" s="2" t="s">
        <v>2495</v>
      </c>
      <c r="K185" s="2" t="s">
        <v>2496</v>
      </c>
      <c r="L185" s="2" t="s">
        <v>1619</v>
      </c>
      <c r="M185" s="2"/>
      <c r="N185" s="2" t="s">
        <v>2024</v>
      </c>
    </row>
    <row r="186">
      <c r="A186" s="2">
        <v>185</v>
      </c>
      <c r="B186" s="2" t="s">
        <v>980</v>
      </c>
      <c r="C186" s="2" t="s">
        <v>41</v>
      </c>
      <c r="D186" s="2" t="s">
        <v>1086</v>
      </c>
      <c r="E186" s="2" t="s">
        <v>2025</v>
      </c>
      <c r="F186" s="2" t="s">
        <v>1089</v>
      </c>
      <c r="G186" s="2" t="s">
        <v>1596</v>
      </c>
      <c r="H186" s="2" t="s">
        <v>1090</v>
      </c>
      <c r="I186" s="2" t="s">
        <v>1091</v>
      </c>
      <c r="J186" s="2" t="s">
        <v>2497</v>
      </c>
      <c r="K186" s="2" t="s">
        <v>2498</v>
      </c>
      <c r="L186" s="2" t="s">
        <v>1619</v>
      </c>
      <c r="M186" s="2"/>
      <c r="N186" s="2" t="s">
        <v>2026</v>
      </c>
    </row>
    <row r="187">
      <c r="A187" s="2">
        <v>186</v>
      </c>
      <c r="B187" s="2" t="s">
        <v>980</v>
      </c>
      <c r="C187" s="2" t="s">
        <v>41</v>
      </c>
      <c r="D187" s="2" t="s">
        <v>1092</v>
      </c>
      <c r="E187" s="2" t="s">
        <v>2027</v>
      </c>
      <c r="F187" s="2" t="s">
        <v>1095</v>
      </c>
      <c r="G187" s="2" t="s">
        <v>1596</v>
      </c>
      <c r="H187" s="2" t="s">
        <v>1096</v>
      </c>
      <c r="I187" s="2" t="s">
        <v>1097</v>
      </c>
      <c r="J187" s="2" t="s">
        <v>2499</v>
      </c>
      <c r="K187" s="2" t="s">
        <v>2500</v>
      </c>
      <c r="L187" s="2" t="s">
        <v>1619</v>
      </c>
      <c r="M187" s="2"/>
      <c r="N187" s="2" t="s">
        <v>2028</v>
      </c>
    </row>
    <row r="188">
      <c r="A188" s="2">
        <v>187</v>
      </c>
      <c r="B188" s="2" t="s">
        <v>980</v>
      </c>
      <c r="C188" s="2" t="s">
        <v>41</v>
      </c>
      <c r="D188" s="2" t="s">
        <v>1098</v>
      </c>
      <c r="E188" s="2" t="s">
        <v>2029</v>
      </c>
      <c r="F188" s="2" t="s">
        <v>1099</v>
      </c>
      <c r="G188" s="2" t="s">
        <v>1596</v>
      </c>
      <c r="H188" s="2" t="s">
        <v>1100</v>
      </c>
      <c r="I188" s="2" t="s">
        <v>1101</v>
      </c>
      <c r="J188" s="2"/>
      <c r="K188" s="2" t="s">
        <v>2501</v>
      </c>
      <c r="L188" s="2" t="s">
        <v>1593</v>
      </c>
      <c r="M188" s="2"/>
      <c r="N188" s="2" t="s">
        <v>2030</v>
      </c>
    </row>
    <row r="189">
      <c r="A189" s="2">
        <v>188</v>
      </c>
      <c r="B189" s="2" t="s">
        <v>980</v>
      </c>
      <c r="C189" s="2" t="s">
        <v>82</v>
      </c>
      <c r="D189" s="2" t="s">
        <v>1102</v>
      </c>
      <c r="E189" s="2" t="s">
        <v>2031</v>
      </c>
      <c r="F189" s="2" t="s">
        <v>1104</v>
      </c>
      <c r="G189" s="2" t="s">
        <v>1675</v>
      </c>
      <c r="H189" s="2" t="s">
        <v>1105</v>
      </c>
      <c r="I189" s="2" t="s">
        <v>1106</v>
      </c>
      <c r="J189" s="2" t="s">
        <v>2502</v>
      </c>
      <c r="K189" s="2"/>
      <c r="L189" s="2" t="s">
        <v>1619</v>
      </c>
      <c r="M189" s="2" t="s">
        <v>81</v>
      </c>
      <c r="N189" s="2" t="s">
        <v>2032</v>
      </c>
    </row>
    <row r="190">
      <c r="A190" s="2">
        <v>189</v>
      </c>
      <c r="B190" s="2" t="s">
        <v>980</v>
      </c>
      <c r="C190" s="2" t="s">
        <v>82</v>
      </c>
      <c r="D190" s="2" t="s">
        <v>1107</v>
      </c>
      <c r="E190" s="2" t="s">
        <v>2033</v>
      </c>
      <c r="F190" s="2" t="s">
        <v>1110</v>
      </c>
      <c r="G190" s="2" t="s">
        <v>1807</v>
      </c>
      <c r="H190" s="2" t="s">
        <v>1111</v>
      </c>
      <c r="I190" s="2" t="s">
        <v>1112</v>
      </c>
      <c r="J190" s="2" t="s">
        <v>2503</v>
      </c>
      <c r="K190" s="2" t="s">
        <v>2504</v>
      </c>
      <c r="L190" s="2" t="s">
        <v>1593</v>
      </c>
      <c r="M190" s="2" t="s">
        <v>1113</v>
      </c>
      <c r="N190" s="2" t="s">
        <v>2034</v>
      </c>
    </row>
    <row r="191">
      <c r="A191" s="2">
        <v>190</v>
      </c>
      <c r="B191" s="2" t="s">
        <v>980</v>
      </c>
      <c r="C191" s="2" t="s">
        <v>41</v>
      </c>
      <c r="D191" s="2" t="s">
        <v>1114</v>
      </c>
      <c r="E191" s="2" t="s">
        <v>2035</v>
      </c>
      <c r="F191" s="2" t="s">
        <v>1116</v>
      </c>
      <c r="G191" s="2" t="s">
        <v>1596</v>
      </c>
      <c r="H191" s="2" t="s">
        <v>1117</v>
      </c>
      <c r="I191" s="2" t="s">
        <v>1118</v>
      </c>
      <c r="J191" s="2" t="s">
        <v>2505</v>
      </c>
      <c r="K191" s="2" t="s">
        <v>2506</v>
      </c>
      <c r="L191" s="2" t="s">
        <v>1593</v>
      </c>
      <c r="M191" s="2"/>
      <c r="N191" s="2" t="s">
        <v>2036</v>
      </c>
    </row>
    <row r="192">
      <c r="A192" s="2">
        <v>191</v>
      </c>
      <c r="B192" s="2" t="s">
        <v>980</v>
      </c>
      <c r="C192" s="2" t="s">
        <v>22</v>
      </c>
      <c r="D192" s="2" t="s">
        <v>1119</v>
      </c>
      <c r="E192" s="2" t="s">
        <v>2037</v>
      </c>
      <c r="F192" s="2" t="s">
        <v>1120</v>
      </c>
      <c r="G192" s="2" t="s">
        <v>2038</v>
      </c>
      <c r="H192" s="2" t="s">
        <v>1121</v>
      </c>
      <c r="I192" s="2" t="s">
        <v>1122</v>
      </c>
      <c r="J192" s="2" t="s">
        <v>2507</v>
      </c>
      <c r="K192" s="2" t="s">
        <v>2508</v>
      </c>
      <c r="L192" s="2" t="s">
        <v>1593</v>
      </c>
      <c r="M192" s="2"/>
      <c r="N192" s="2" t="s">
        <v>2039</v>
      </c>
    </row>
    <row r="193">
      <c r="A193" s="2">
        <v>192</v>
      </c>
      <c r="B193" s="2" t="s">
        <v>980</v>
      </c>
      <c r="C193" s="2" t="s">
        <v>117</v>
      </c>
      <c r="D193" s="2" t="s">
        <v>1123</v>
      </c>
      <c r="E193" s="2" t="s">
        <v>2040</v>
      </c>
      <c r="F193" s="2" t="s">
        <v>1126</v>
      </c>
      <c r="G193" s="2" t="s">
        <v>1596</v>
      </c>
      <c r="H193" s="2" t="s">
        <v>1127</v>
      </c>
      <c r="I193" s="2" t="s">
        <v>1128</v>
      </c>
      <c r="J193" s="2"/>
      <c r="K193" s="2" t="s">
        <v>2509</v>
      </c>
      <c r="L193" s="2" t="s">
        <v>1619</v>
      </c>
      <c r="M193" s="2"/>
      <c r="N193" s="2" t="s">
        <v>2041</v>
      </c>
    </row>
    <row r="194">
      <c r="A194" s="2">
        <v>193</v>
      </c>
      <c r="B194" s="2" t="s">
        <v>980</v>
      </c>
      <c r="C194" s="2" t="s">
        <v>192</v>
      </c>
      <c r="D194" s="2" t="s">
        <v>1129</v>
      </c>
      <c r="E194" s="2" t="s">
        <v>2042</v>
      </c>
      <c r="F194" s="2" t="s">
        <v>1131</v>
      </c>
      <c r="G194" s="2" t="s">
        <v>1718</v>
      </c>
      <c r="H194" s="2" t="s">
        <v>1132</v>
      </c>
      <c r="I194" s="2" t="s">
        <v>1133</v>
      </c>
      <c r="J194" s="2" t="s">
        <v>2510</v>
      </c>
      <c r="K194" s="2"/>
      <c r="L194" s="2" t="s">
        <v>1593</v>
      </c>
      <c r="M194" s="2" t="s">
        <v>197</v>
      </c>
      <c r="N194" s="2" t="s">
        <v>2043</v>
      </c>
    </row>
    <row r="195">
      <c r="A195" s="2">
        <v>194</v>
      </c>
      <c r="B195" s="2" t="s">
        <v>980</v>
      </c>
      <c r="C195" s="2" t="s">
        <v>41</v>
      </c>
      <c r="D195" s="2" t="s">
        <v>1134</v>
      </c>
      <c r="E195" s="2" t="s">
        <v>2044</v>
      </c>
      <c r="F195" s="2" t="s">
        <v>1059</v>
      </c>
      <c r="G195" s="2" t="s">
        <v>1606</v>
      </c>
      <c r="H195" s="2" t="s">
        <v>1136</v>
      </c>
      <c r="I195" s="2" t="s">
        <v>1137</v>
      </c>
      <c r="J195" s="2" t="s">
        <v>2511</v>
      </c>
      <c r="K195" s="2" t="s">
        <v>2512</v>
      </c>
      <c r="L195" s="2" t="s">
        <v>1619</v>
      </c>
      <c r="M195" s="2"/>
      <c r="N195" s="2" t="s">
        <v>2045</v>
      </c>
    </row>
    <row r="196">
      <c r="A196" s="2">
        <v>195</v>
      </c>
      <c r="B196" s="2" t="s">
        <v>980</v>
      </c>
      <c r="C196" s="2" t="s">
        <v>117</v>
      </c>
      <c r="D196" s="2" t="s">
        <v>1138</v>
      </c>
      <c r="E196" s="2" t="s">
        <v>2046</v>
      </c>
      <c r="F196" s="2" t="s">
        <v>1139</v>
      </c>
      <c r="G196" s="2" t="s">
        <v>1606</v>
      </c>
      <c r="H196" s="2" t="s">
        <v>1140</v>
      </c>
      <c r="I196" s="2" t="s">
        <v>1141</v>
      </c>
      <c r="J196" s="2" t="s">
        <v>2513</v>
      </c>
      <c r="K196" s="2" t="s">
        <v>2514</v>
      </c>
      <c r="L196" s="2" t="s">
        <v>1619</v>
      </c>
      <c r="M196" s="2"/>
      <c r="N196" s="2" t="s">
        <v>2047</v>
      </c>
    </row>
    <row r="197">
      <c r="A197" s="2">
        <v>196</v>
      </c>
      <c r="B197" s="2" t="s">
        <v>980</v>
      </c>
      <c r="C197" s="2" t="s">
        <v>82</v>
      </c>
      <c r="D197" s="2" t="s">
        <v>1142</v>
      </c>
      <c r="E197" s="2" t="s">
        <v>2048</v>
      </c>
      <c r="F197" s="2" t="s">
        <v>1145</v>
      </c>
      <c r="G197" s="2" t="s">
        <v>1662</v>
      </c>
      <c r="H197" s="2" t="s">
        <v>1146</v>
      </c>
      <c r="I197" s="2" t="s">
        <v>1147</v>
      </c>
      <c r="J197" s="2"/>
      <c r="K197" s="2"/>
      <c r="L197" s="2" t="s">
        <v>1597</v>
      </c>
      <c r="M197" s="2"/>
      <c r="N197" s="2" t="s">
        <v>2049</v>
      </c>
    </row>
    <row r="198">
      <c r="A198" s="2">
        <v>197</v>
      </c>
      <c r="B198" s="2" t="s">
        <v>980</v>
      </c>
      <c r="C198" s="2" t="s">
        <v>131</v>
      </c>
      <c r="D198" s="2" t="s">
        <v>1148</v>
      </c>
      <c r="E198" s="2" t="s">
        <v>2050</v>
      </c>
      <c r="F198" s="2" t="s">
        <v>1154</v>
      </c>
      <c r="G198" s="2" t="s">
        <v>1715</v>
      </c>
      <c r="H198" s="2" t="s">
        <v>1155</v>
      </c>
      <c r="I198" s="2" t="s">
        <v>1156</v>
      </c>
      <c r="J198" s="2" t="s">
        <v>2515</v>
      </c>
      <c r="K198" s="2" t="s">
        <v>2516</v>
      </c>
      <c r="L198" s="2" t="s">
        <v>1593</v>
      </c>
      <c r="M198" s="2"/>
      <c r="N198" s="2" t="s">
        <v>2051</v>
      </c>
    </row>
    <row r="199">
      <c r="A199" s="2">
        <v>198</v>
      </c>
      <c r="B199" s="2" t="s">
        <v>980</v>
      </c>
      <c r="C199" s="2" t="s">
        <v>117</v>
      </c>
      <c r="D199" s="2" t="s">
        <v>1157</v>
      </c>
      <c r="E199" s="2" t="s">
        <v>2052</v>
      </c>
      <c r="F199" s="2" t="s">
        <v>1161</v>
      </c>
      <c r="G199" s="2" t="s">
        <v>1596</v>
      </c>
      <c r="H199" s="2"/>
      <c r="I199" s="2" t="s">
        <v>1162</v>
      </c>
      <c r="J199" s="2" t="s">
        <v>2517</v>
      </c>
      <c r="K199" s="2"/>
      <c r="L199" s="2" t="s">
        <v>1593</v>
      </c>
      <c r="M199" s="2"/>
      <c r="N199" s="2" t="s">
        <v>2053</v>
      </c>
    </row>
    <row r="200">
      <c r="A200" s="2">
        <v>199</v>
      </c>
      <c r="B200" s="2" t="s">
        <v>980</v>
      </c>
      <c r="C200" s="2" t="s">
        <v>56</v>
      </c>
      <c r="D200" s="2" t="s">
        <v>1163</v>
      </c>
      <c r="E200" s="2" t="s">
        <v>2054</v>
      </c>
      <c r="F200" s="2" t="s">
        <v>655</v>
      </c>
      <c r="G200" s="2" t="s">
        <v>1879</v>
      </c>
      <c r="H200" s="2" t="s">
        <v>1167</v>
      </c>
      <c r="I200" s="2" t="s">
        <v>1168</v>
      </c>
      <c r="J200" s="2" t="s">
        <v>2518</v>
      </c>
      <c r="K200" s="2" t="s">
        <v>2519</v>
      </c>
      <c r="L200" s="2" t="s">
        <v>1593</v>
      </c>
      <c r="M200" s="2"/>
      <c r="N200" s="2" t="s">
        <v>2055</v>
      </c>
    </row>
    <row r="201">
      <c r="A201" s="2">
        <v>200</v>
      </c>
      <c r="B201" s="2" t="s">
        <v>980</v>
      </c>
      <c r="C201" s="2" t="s">
        <v>117</v>
      </c>
      <c r="D201" s="2" t="s">
        <v>1169</v>
      </c>
      <c r="E201" s="2" t="s">
        <v>2056</v>
      </c>
      <c r="F201" s="2" t="s">
        <v>1172</v>
      </c>
      <c r="G201" s="2" t="s">
        <v>1652</v>
      </c>
      <c r="H201" s="2" t="s">
        <v>1173</v>
      </c>
      <c r="I201" s="2" t="s">
        <v>1174</v>
      </c>
      <c r="J201" s="2" t="s">
        <v>2520</v>
      </c>
      <c r="K201" s="2" t="s">
        <v>2521</v>
      </c>
      <c r="L201" s="2" t="s">
        <v>1593</v>
      </c>
      <c r="M201" s="2" t="s">
        <v>81</v>
      </c>
      <c r="N201" s="2" t="s">
        <v>2057</v>
      </c>
    </row>
    <row r="202">
      <c r="A202" s="2">
        <v>201</v>
      </c>
      <c r="B202" s="2" t="s">
        <v>980</v>
      </c>
      <c r="C202" s="2" t="s">
        <v>117</v>
      </c>
      <c r="D202" s="2" t="s">
        <v>1175</v>
      </c>
      <c r="E202" s="2" t="s">
        <v>2058</v>
      </c>
      <c r="F202" s="2" t="s">
        <v>1178</v>
      </c>
      <c r="G202" s="2" t="s">
        <v>1596</v>
      </c>
      <c r="H202" s="2" t="s">
        <v>1179</v>
      </c>
      <c r="I202" s="2" t="s">
        <v>1180</v>
      </c>
      <c r="J202" s="2" t="s">
        <v>2522</v>
      </c>
      <c r="K202" s="2" t="s">
        <v>2523</v>
      </c>
      <c r="L202" s="2" t="s">
        <v>1619</v>
      </c>
      <c r="M202" s="2"/>
      <c r="N202" s="2" t="s">
        <v>2059</v>
      </c>
    </row>
    <row r="203">
      <c r="A203" s="2">
        <v>202</v>
      </c>
      <c r="B203" s="2" t="s">
        <v>980</v>
      </c>
      <c r="C203" s="2" t="s">
        <v>131</v>
      </c>
      <c r="D203" s="2" t="s">
        <v>1181</v>
      </c>
      <c r="E203" s="2" t="s">
        <v>2060</v>
      </c>
      <c r="F203" s="2" t="s">
        <v>245</v>
      </c>
      <c r="G203" s="2" t="s">
        <v>1715</v>
      </c>
      <c r="H203" s="2" t="s">
        <v>1183</v>
      </c>
      <c r="I203" s="2" t="s">
        <v>1184</v>
      </c>
      <c r="J203" s="2"/>
      <c r="K203" s="2" t="s">
        <v>2524</v>
      </c>
      <c r="L203" s="2" t="s">
        <v>1593</v>
      </c>
      <c r="M203" s="2"/>
      <c r="N203" s="2" t="s">
        <v>2061</v>
      </c>
    </row>
    <row r="204">
      <c r="A204" s="2">
        <v>203</v>
      </c>
      <c r="B204" s="2" t="s">
        <v>980</v>
      </c>
      <c r="C204" s="2" t="s">
        <v>41</v>
      </c>
      <c r="D204" s="2" t="s">
        <v>1185</v>
      </c>
      <c r="E204" s="2" t="s">
        <v>2062</v>
      </c>
      <c r="F204" s="2" t="s">
        <v>1187</v>
      </c>
      <c r="G204" s="2" t="s">
        <v>1596</v>
      </c>
      <c r="H204" s="2" t="s">
        <v>1188</v>
      </c>
      <c r="I204" s="2" t="s">
        <v>1189</v>
      </c>
      <c r="J204" s="2"/>
      <c r="K204" s="2" t="s">
        <v>2525</v>
      </c>
      <c r="L204" s="2" t="s">
        <v>1597</v>
      </c>
      <c r="M204" s="2"/>
      <c r="N204" s="2" t="s">
        <v>2063</v>
      </c>
    </row>
    <row r="205">
      <c r="A205" s="2">
        <v>204</v>
      </c>
      <c r="B205" s="2" t="s">
        <v>980</v>
      </c>
      <c r="C205" s="2" t="s">
        <v>117</v>
      </c>
      <c r="D205" s="2" t="s">
        <v>1190</v>
      </c>
      <c r="E205" s="2" t="s">
        <v>2064</v>
      </c>
      <c r="F205" s="2" t="s">
        <v>1193</v>
      </c>
      <c r="G205" s="2" t="s">
        <v>1652</v>
      </c>
      <c r="H205" s="2" t="s">
        <v>1194</v>
      </c>
      <c r="I205" s="2" t="s">
        <v>1195</v>
      </c>
      <c r="J205" s="2" t="s">
        <v>2526</v>
      </c>
      <c r="K205" s="2" t="s">
        <v>2527</v>
      </c>
      <c r="L205" s="2" t="s">
        <v>1619</v>
      </c>
      <c r="M205" s="2" t="s">
        <v>563</v>
      </c>
      <c r="N205" s="2" t="s">
        <v>2065</v>
      </c>
    </row>
    <row r="206">
      <c r="A206" s="2">
        <v>205</v>
      </c>
      <c r="B206" s="2" t="s">
        <v>980</v>
      </c>
      <c r="C206" s="2" t="s">
        <v>239</v>
      </c>
      <c r="D206" s="2" t="s">
        <v>1196</v>
      </c>
      <c r="E206" s="2" t="s">
        <v>2066</v>
      </c>
      <c r="F206" s="2" t="s">
        <v>1099</v>
      </c>
      <c r="G206" s="2" t="s">
        <v>2067</v>
      </c>
      <c r="H206" s="2" t="s">
        <v>1197</v>
      </c>
      <c r="I206" s="2" t="s">
        <v>1198</v>
      </c>
      <c r="J206" s="2"/>
      <c r="K206" s="2" t="s">
        <v>2528</v>
      </c>
      <c r="L206" s="2" t="s">
        <v>1593</v>
      </c>
      <c r="M206" s="2" t="s">
        <v>197</v>
      </c>
      <c r="N206" s="2" t="s">
        <v>2068</v>
      </c>
    </row>
    <row r="207">
      <c r="A207" s="2">
        <v>206</v>
      </c>
      <c r="B207" s="2" t="s">
        <v>980</v>
      </c>
      <c r="C207" s="2" t="s">
        <v>117</v>
      </c>
      <c r="D207" s="2" t="s">
        <v>1199</v>
      </c>
      <c r="E207" s="2" t="s">
        <v>2069</v>
      </c>
      <c r="F207" s="2" t="s">
        <v>1202</v>
      </c>
      <c r="G207" s="2" t="s">
        <v>1606</v>
      </c>
      <c r="H207" s="2" t="s">
        <v>1203</v>
      </c>
      <c r="I207" s="2" t="s">
        <v>1204</v>
      </c>
      <c r="J207" s="2" t="s">
        <v>2529</v>
      </c>
      <c r="K207" s="2" t="s">
        <v>2530</v>
      </c>
      <c r="L207" s="2" t="s">
        <v>1619</v>
      </c>
      <c r="M207" s="2"/>
      <c r="N207" s="2" t="s">
        <v>2070</v>
      </c>
    </row>
    <row r="208">
      <c r="A208" s="2">
        <v>207</v>
      </c>
      <c r="B208" s="2" t="s">
        <v>980</v>
      </c>
      <c r="C208" s="2" t="s">
        <v>192</v>
      </c>
      <c r="D208" s="2" t="s">
        <v>1205</v>
      </c>
      <c r="E208" s="2" t="s">
        <v>2071</v>
      </c>
      <c r="F208" s="2" t="s">
        <v>1206</v>
      </c>
      <c r="G208" s="2" t="s">
        <v>1600</v>
      </c>
      <c r="H208" s="2" t="s">
        <v>1207</v>
      </c>
      <c r="I208" s="2" t="s">
        <v>1208</v>
      </c>
      <c r="J208" s="2" t="s">
        <v>2531</v>
      </c>
      <c r="K208" s="2" t="s">
        <v>2532</v>
      </c>
      <c r="L208" s="2" t="s">
        <v>1619</v>
      </c>
      <c r="M208" s="2"/>
      <c r="N208" s="2" t="s">
        <v>2072</v>
      </c>
    </row>
    <row r="209">
      <c r="A209" s="2">
        <v>208</v>
      </c>
      <c r="B209" s="2" t="s">
        <v>980</v>
      </c>
      <c r="C209" s="2" t="s">
        <v>1209</v>
      </c>
      <c r="D209" s="2" t="s">
        <v>1210</v>
      </c>
      <c r="E209" s="2" t="s">
        <v>2073</v>
      </c>
      <c r="F209" s="2" t="s">
        <v>1211</v>
      </c>
      <c r="G209" s="2" t="s">
        <v>2074</v>
      </c>
      <c r="H209" s="2" t="s">
        <v>1212</v>
      </c>
      <c r="I209" s="2" t="s">
        <v>1213</v>
      </c>
      <c r="J209" s="2" t="s">
        <v>2533</v>
      </c>
      <c r="K209" s="2" t="s">
        <v>2534</v>
      </c>
      <c r="L209" s="2" t="s">
        <v>1593</v>
      </c>
      <c r="M209" s="2"/>
      <c r="N209" s="2" t="s">
        <v>2075</v>
      </c>
    </row>
    <row r="210">
      <c r="A210" s="2">
        <v>209</v>
      </c>
      <c r="B210" s="2" t="s">
        <v>980</v>
      </c>
      <c r="C210" s="2" t="s">
        <v>41</v>
      </c>
      <c r="D210" s="2" t="s">
        <v>1214</v>
      </c>
      <c r="E210" s="2" t="s">
        <v>2076</v>
      </c>
      <c r="F210" s="2" t="s">
        <v>1217</v>
      </c>
      <c r="G210" s="2" t="s">
        <v>1596</v>
      </c>
      <c r="H210" s="2" t="s">
        <v>1218</v>
      </c>
      <c r="I210" s="2" t="s">
        <v>1219</v>
      </c>
      <c r="J210" s="2" t="s">
        <v>2535</v>
      </c>
      <c r="K210" s="2" t="s">
        <v>2536</v>
      </c>
      <c r="L210" s="2" t="s">
        <v>1593</v>
      </c>
      <c r="M210" s="2" t="s">
        <v>81</v>
      </c>
      <c r="N210" s="2" t="s">
        <v>2077</v>
      </c>
    </row>
    <row r="211">
      <c r="A211" s="2">
        <v>210</v>
      </c>
      <c r="B211" s="2" t="s">
        <v>980</v>
      </c>
      <c r="C211" s="2" t="s">
        <v>117</v>
      </c>
      <c r="D211" s="2" t="s">
        <v>1220</v>
      </c>
      <c r="E211" s="2" t="s">
        <v>2078</v>
      </c>
      <c r="F211" s="2" t="s">
        <v>1223</v>
      </c>
      <c r="G211" s="2" t="s">
        <v>1596</v>
      </c>
      <c r="H211" s="2" t="s">
        <v>1224</v>
      </c>
      <c r="I211" s="2" t="s">
        <v>1225</v>
      </c>
      <c r="J211" s="2" t="s">
        <v>2537</v>
      </c>
      <c r="K211" s="2" t="s">
        <v>2538</v>
      </c>
      <c r="L211" s="2" t="s">
        <v>1619</v>
      </c>
      <c r="M211" s="2"/>
      <c r="N211" s="2" t="s">
        <v>2079</v>
      </c>
    </row>
    <row r="212">
      <c r="A212" s="2">
        <v>211</v>
      </c>
      <c r="B212" s="2" t="s">
        <v>980</v>
      </c>
      <c r="C212" s="2" t="s">
        <v>117</v>
      </c>
      <c r="D212" s="2" t="s">
        <v>1226</v>
      </c>
      <c r="E212" s="2" t="s">
        <v>2080</v>
      </c>
      <c r="F212" s="2" t="s">
        <v>1228</v>
      </c>
      <c r="G212" s="2" t="s">
        <v>1596</v>
      </c>
      <c r="H212" s="2" t="s">
        <v>1229</v>
      </c>
      <c r="I212" s="2" t="s">
        <v>1230</v>
      </c>
      <c r="J212" s="2" t="s">
        <v>2539</v>
      </c>
      <c r="K212" s="2" t="s">
        <v>2540</v>
      </c>
      <c r="L212" s="2" t="s">
        <v>1619</v>
      </c>
      <c r="M212" s="2"/>
      <c r="N212" s="2" t="s">
        <v>2081</v>
      </c>
    </row>
    <row r="213">
      <c r="A213" s="2">
        <v>212</v>
      </c>
      <c r="B213" s="2" t="s">
        <v>980</v>
      </c>
      <c r="C213" s="2" t="s">
        <v>82</v>
      </c>
      <c r="D213" s="2" t="s">
        <v>1231</v>
      </c>
      <c r="E213" s="2" t="s">
        <v>2082</v>
      </c>
      <c r="F213" s="2" t="s">
        <v>1234</v>
      </c>
      <c r="G213" s="2" t="s">
        <v>1596</v>
      </c>
      <c r="H213" s="2" t="s">
        <v>1235</v>
      </c>
      <c r="I213" s="2" t="s">
        <v>1236</v>
      </c>
      <c r="J213" s="2" t="s">
        <v>2541</v>
      </c>
      <c r="K213" s="2" t="s">
        <v>2542</v>
      </c>
      <c r="L213" s="2" t="s">
        <v>1619</v>
      </c>
      <c r="M213" s="2"/>
      <c r="N213" s="2" t="s">
        <v>2083</v>
      </c>
    </row>
    <row r="214">
      <c r="A214" s="2">
        <v>213</v>
      </c>
      <c r="B214" s="2" t="s">
        <v>980</v>
      </c>
      <c r="C214" s="2" t="s">
        <v>56</v>
      </c>
      <c r="D214" s="2" t="s">
        <v>1237</v>
      </c>
      <c r="E214" s="2" t="s">
        <v>2084</v>
      </c>
      <c r="F214" s="2" t="s">
        <v>1240</v>
      </c>
      <c r="G214" s="2" t="s">
        <v>1675</v>
      </c>
      <c r="H214" s="2" t="s">
        <v>1241</v>
      </c>
      <c r="I214" s="2" t="s">
        <v>1242</v>
      </c>
      <c r="J214" s="2" t="s">
        <v>2543</v>
      </c>
      <c r="K214" s="2" t="s">
        <v>2544</v>
      </c>
      <c r="L214" s="2" t="s">
        <v>1619</v>
      </c>
      <c r="M214" s="2"/>
      <c r="N214" s="2" t="s">
        <v>2085</v>
      </c>
    </row>
    <row r="215">
      <c r="A215" s="2">
        <v>214</v>
      </c>
      <c r="B215" s="2" t="s">
        <v>980</v>
      </c>
      <c r="C215" s="2" t="s">
        <v>56</v>
      </c>
      <c r="D215" s="2" t="s">
        <v>1243</v>
      </c>
      <c r="E215" s="2" t="s">
        <v>2086</v>
      </c>
      <c r="F215" s="2" t="s">
        <v>1245</v>
      </c>
      <c r="G215" s="2" t="s">
        <v>1634</v>
      </c>
      <c r="H215" s="2" t="s">
        <v>1246</v>
      </c>
      <c r="I215" s="2" t="s">
        <v>1247</v>
      </c>
      <c r="J215" s="2" t="s">
        <v>2545</v>
      </c>
      <c r="K215" s="2" t="s">
        <v>2546</v>
      </c>
      <c r="L215" s="2" t="s">
        <v>1619</v>
      </c>
      <c r="M215" s="2"/>
      <c r="N215" s="2" t="s">
        <v>2087</v>
      </c>
    </row>
    <row r="216">
      <c r="A216" s="2">
        <v>215</v>
      </c>
      <c r="B216" s="2" t="s">
        <v>980</v>
      </c>
      <c r="C216" s="2" t="s">
        <v>117</v>
      </c>
      <c r="D216" s="2" t="s">
        <v>1248</v>
      </c>
      <c r="E216" s="2" t="s">
        <v>2088</v>
      </c>
      <c r="F216" s="2" t="s">
        <v>1251</v>
      </c>
      <c r="G216" s="2" t="s">
        <v>1596</v>
      </c>
      <c r="H216" s="2" t="s">
        <v>1252</v>
      </c>
      <c r="I216" s="2" t="s">
        <v>1253</v>
      </c>
      <c r="J216" s="2" t="s">
        <v>2547</v>
      </c>
      <c r="K216" s="2" t="s">
        <v>2548</v>
      </c>
      <c r="L216" s="2" t="s">
        <v>1619</v>
      </c>
      <c r="M216" s="2"/>
      <c r="N216" s="2" t="s">
        <v>2089</v>
      </c>
    </row>
    <row r="217">
      <c r="A217" s="2">
        <v>216</v>
      </c>
      <c r="B217" s="2" t="s">
        <v>980</v>
      </c>
      <c r="C217" s="2" t="s">
        <v>476</v>
      </c>
      <c r="D217" s="2" t="s">
        <v>1254</v>
      </c>
      <c r="E217" s="2" t="s">
        <v>2090</v>
      </c>
      <c r="F217" s="2" t="s">
        <v>1255</v>
      </c>
      <c r="G217" s="2" t="s">
        <v>2091</v>
      </c>
      <c r="H217" s="2" t="s">
        <v>1256</v>
      </c>
      <c r="I217" s="2" t="s">
        <v>1257</v>
      </c>
      <c r="J217" s="2"/>
      <c r="K217" s="2" t="s">
        <v>2549</v>
      </c>
      <c r="L217" s="2" t="s">
        <v>1593</v>
      </c>
      <c r="M217" s="2" t="s">
        <v>563</v>
      </c>
      <c r="N217" s="2" t="s">
        <v>2092</v>
      </c>
    </row>
    <row r="218">
      <c r="A218" s="2">
        <v>217</v>
      </c>
      <c r="B218" s="2" t="s">
        <v>980</v>
      </c>
      <c r="C218" s="2" t="s">
        <v>117</v>
      </c>
      <c r="D218" s="2" t="s">
        <v>1258</v>
      </c>
      <c r="E218" s="2" t="s">
        <v>2093</v>
      </c>
      <c r="F218" s="2" t="s">
        <v>1261</v>
      </c>
      <c r="G218" s="2" t="s">
        <v>1675</v>
      </c>
      <c r="H218" s="2" t="s">
        <v>1262</v>
      </c>
      <c r="I218" s="2" t="s">
        <v>1263</v>
      </c>
      <c r="J218" s="2" t="s">
        <v>2550</v>
      </c>
      <c r="K218" s="2" t="s">
        <v>2551</v>
      </c>
      <c r="L218" s="2" t="s">
        <v>1593</v>
      </c>
      <c r="M218" s="2" t="s">
        <v>191</v>
      </c>
      <c r="N218" s="2" t="s">
        <v>2094</v>
      </c>
    </row>
    <row r="219">
      <c r="A219" s="2">
        <v>218</v>
      </c>
      <c r="B219" s="2" t="s">
        <v>980</v>
      </c>
      <c r="C219" s="2" t="s">
        <v>239</v>
      </c>
      <c r="D219" s="2" t="s">
        <v>1264</v>
      </c>
      <c r="E219" s="2" t="s">
        <v>2095</v>
      </c>
      <c r="F219" s="2" t="s">
        <v>1110</v>
      </c>
      <c r="G219" s="2" t="s">
        <v>1652</v>
      </c>
      <c r="H219" s="2" t="s">
        <v>1266</v>
      </c>
      <c r="I219" s="2" t="s">
        <v>1267</v>
      </c>
      <c r="J219" s="2" t="s">
        <v>2552</v>
      </c>
      <c r="K219" s="2" t="s">
        <v>2553</v>
      </c>
      <c r="L219" s="2" t="s">
        <v>1593</v>
      </c>
      <c r="M219" s="2" t="s">
        <v>191</v>
      </c>
      <c r="N219" s="2" t="s">
        <v>2096</v>
      </c>
    </row>
    <row r="220">
      <c r="A220" s="2">
        <v>219</v>
      </c>
      <c r="B220" s="2" t="s">
        <v>980</v>
      </c>
      <c r="C220" s="2" t="s">
        <v>56</v>
      </c>
      <c r="D220" s="2" t="s">
        <v>1268</v>
      </c>
      <c r="E220" s="2" t="s">
        <v>2097</v>
      </c>
      <c r="F220" s="2" t="s">
        <v>1271</v>
      </c>
      <c r="G220" s="2" t="s">
        <v>1659</v>
      </c>
      <c r="H220" s="2" t="s">
        <v>1272</v>
      </c>
      <c r="I220" s="2" t="s">
        <v>1273</v>
      </c>
      <c r="J220" s="2" t="s">
        <v>2554</v>
      </c>
      <c r="K220" s="2" t="s">
        <v>2555</v>
      </c>
      <c r="L220" s="2" t="s">
        <v>1593</v>
      </c>
      <c r="M220" s="2" t="s">
        <v>81</v>
      </c>
      <c r="N220" s="2" t="s">
        <v>2098</v>
      </c>
    </row>
    <row r="221">
      <c r="A221" s="2">
        <v>220</v>
      </c>
      <c r="B221" s="2" t="s">
        <v>980</v>
      </c>
      <c r="C221" s="2" t="s">
        <v>41</v>
      </c>
      <c r="D221" s="2" t="s">
        <v>1274</v>
      </c>
      <c r="E221" s="2" t="s">
        <v>2076</v>
      </c>
      <c r="F221" s="2" t="s">
        <v>1276</v>
      </c>
      <c r="G221" s="2" t="s">
        <v>1596</v>
      </c>
      <c r="H221" s="2" t="s">
        <v>1277</v>
      </c>
      <c r="I221" s="2" t="s">
        <v>1278</v>
      </c>
      <c r="J221" s="2" t="s">
        <v>2556</v>
      </c>
      <c r="K221" s="2" t="s">
        <v>2557</v>
      </c>
      <c r="L221" s="2" t="s">
        <v>1593</v>
      </c>
      <c r="M221" s="2"/>
      <c r="N221" s="2" t="s">
        <v>2099</v>
      </c>
    </row>
    <row r="222">
      <c r="A222" s="2">
        <v>221</v>
      </c>
      <c r="B222" s="2" t="s">
        <v>980</v>
      </c>
      <c r="C222" s="2" t="s">
        <v>239</v>
      </c>
      <c r="D222" s="2" t="s">
        <v>1279</v>
      </c>
      <c r="E222" s="2" t="s">
        <v>2100</v>
      </c>
      <c r="F222" s="2" t="s">
        <v>1059</v>
      </c>
      <c r="G222" s="2" t="s">
        <v>1662</v>
      </c>
      <c r="H222" s="2" t="s">
        <v>1282</v>
      </c>
      <c r="I222" s="2" t="s">
        <v>1283</v>
      </c>
      <c r="J222" s="2" t="s">
        <v>2558</v>
      </c>
      <c r="K222" s="2"/>
      <c r="L222" s="2" t="s">
        <v>1619</v>
      </c>
      <c r="M222" s="2"/>
      <c r="N222" s="2" t="s">
        <v>2101</v>
      </c>
    </row>
    <row r="223">
      <c r="A223" s="2">
        <v>222</v>
      </c>
      <c r="B223" s="2" t="s">
        <v>980</v>
      </c>
      <c r="C223" s="2" t="s">
        <v>131</v>
      </c>
      <c r="D223" s="2" t="s">
        <v>1284</v>
      </c>
      <c r="E223" s="2" t="s">
        <v>2102</v>
      </c>
      <c r="F223" s="2" t="s">
        <v>1245</v>
      </c>
      <c r="G223" s="2" t="s">
        <v>1644</v>
      </c>
      <c r="H223" s="2" t="s">
        <v>1286</v>
      </c>
      <c r="I223" s="2" t="s">
        <v>1287</v>
      </c>
      <c r="J223" s="2" t="s">
        <v>2559</v>
      </c>
      <c r="K223" s="2" t="s">
        <v>2560</v>
      </c>
      <c r="L223" s="2" t="s">
        <v>1619</v>
      </c>
      <c r="M223" s="2"/>
      <c r="N223" s="2" t="s">
        <v>2103</v>
      </c>
    </row>
    <row r="224">
      <c r="A224" s="2">
        <v>223</v>
      </c>
      <c r="B224" s="2" t="s">
        <v>980</v>
      </c>
      <c r="C224" s="2" t="s">
        <v>41</v>
      </c>
      <c r="D224" s="2" t="s">
        <v>1288</v>
      </c>
      <c r="E224" s="2" t="s">
        <v>2104</v>
      </c>
      <c r="F224" s="2" t="s">
        <v>1291</v>
      </c>
      <c r="G224" s="2" t="s">
        <v>1596</v>
      </c>
      <c r="H224" s="2" t="s">
        <v>1292</v>
      </c>
      <c r="I224" s="2" t="s">
        <v>1293</v>
      </c>
      <c r="J224" s="2" t="s">
        <v>2561</v>
      </c>
      <c r="K224" s="2" t="s">
        <v>2562</v>
      </c>
      <c r="L224" s="2" t="s">
        <v>1619</v>
      </c>
      <c r="M224" s="2"/>
      <c r="N224" s="2" t="s">
        <v>2105</v>
      </c>
    </row>
    <row r="225">
      <c r="A225" s="2">
        <v>224</v>
      </c>
      <c r="B225" s="2" t="s">
        <v>980</v>
      </c>
      <c r="C225" s="2" t="s">
        <v>56</v>
      </c>
      <c r="D225" s="2" t="s">
        <v>1294</v>
      </c>
      <c r="E225" s="2" t="s">
        <v>2106</v>
      </c>
      <c r="F225" s="2" t="s">
        <v>1297</v>
      </c>
      <c r="G225" s="2" t="s">
        <v>1616</v>
      </c>
      <c r="H225" s="2" t="s">
        <v>1298</v>
      </c>
      <c r="I225" s="2" t="s">
        <v>1299</v>
      </c>
      <c r="J225" s="2" t="s">
        <v>2563</v>
      </c>
      <c r="K225" s="2"/>
      <c r="L225" s="2" t="s">
        <v>1593</v>
      </c>
      <c r="M225" s="2" t="s">
        <v>81</v>
      </c>
      <c r="N225" s="2" t="s">
        <v>2107</v>
      </c>
    </row>
    <row r="226">
      <c r="A226" s="2">
        <v>225</v>
      </c>
      <c r="B226" s="2" t="s">
        <v>980</v>
      </c>
      <c r="C226" s="2" t="s">
        <v>117</v>
      </c>
      <c r="D226" s="2" t="s">
        <v>1300</v>
      </c>
      <c r="E226" s="2" t="s">
        <v>2108</v>
      </c>
      <c r="F226" s="2" t="s">
        <v>1276</v>
      </c>
      <c r="G226" s="2" t="s">
        <v>1606</v>
      </c>
      <c r="H226" s="2" t="s">
        <v>1303</v>
      </c>
      <c r="I226" s="2" t="s">
        <v>1304</v>
      </c>
      <c r="J226" s="2" t="s">
        <v>2564</v>
      </c>
      <c r="K226" s="2" t="s">
        <v>2565</v>
      </c>
      <c r="L226" s="2" t="s">
        <v>1593</v>
      </c>
      <c r="M226" s="2"/>
      <c r="N226" s="2" t="s">
        <v>2109</v>
      </c>
    </row>
    <row r="227">
      <c r="A227" s="2">
        <v>226</v>
      </c>
      <c r="B227" s="2" t="s">
        <v>980</v>
      </c>
      <c r="C227" s="2" t="s">
        <v>117</v>
      </c>
      <c r="D227" s="2" t="s">
        <v>1305</v>
      </c>
      <c r="E227" s="2" t="s">
        <v>2110</v>
      </c>
      <c r="F227" s="2" t="s">
        <v>1276</v>
      </c>
      <c r="G227" s="2" t="s">
        <v>1667</v>
      </c>
      <c r="H227" s="2" t="s">
        <v>1307</v>
      </c>
      <c r="I227" s="2" t="s">
        <v>1308</v>
      </c>
      <c r="J227" s="2" t="s">
        <v>2566</v>
      </c>
      <c r="K227" s="2" t="s">
        <v>2567</v>
      </c>
      <c r="L227" s="2" t="s">
        <v>1593</v>
      </c>
      <c r="M227" s="2"/>
      <c r="N227" s="2" t="s">
        <v>2111</v>
      </c>
    </row>
    <row r="228">
      <c r="A228" s="2">
        <v>227</v>
      </c>
      <c r="B228" s="2" t="s">
        <v>980</v>
      </c>
      <c r="C228" s="2" t="s">
        <v>117</v>
      </c>
      <c r="D228" s="2" t="s">
        <v>1309</v>
      </c>
      <c r="E228" s="2" t="s">
        <v>2112</v>
      </c>
      <c r="F228" s="2" t="s">
        <v>1312</v>
      </c>
      <c r="G228" s="2" t="s">
        <v>1644</v>
      </c>
      <c r="H228" s="2" t="s">
        <v>1313</v>
      </c>
      <c r="I228" s="2" t="s">
        <v>1314</v>
      </c>
      <c r="J228" s="2" t="s">
        <v>2568</v>
      </c>
      <c r="K228" s="2" t="s">
        <v>2569</v>
      </c>
      <c r="L228" s="2" t="s">
        <v>1593</v>
      </c>
      <c r="M228" s="2" t="s">
        <v>81</v>
      </c>
      <c r="N228" s="2" t="s">
        <v>2113</v>
      </c>
    </row>
    <row r="229">
      <c r="A229" s="2">
        <v>228</v>
      </c>
      <c r="B229" s="2" t="s">
        <v>980</v>
      </c>
      <c r="C229" s="2" t="s">
        <v>41</v>
      </c>
      <c r="D229" s="2" t="s">
        <v>1315</v>
      </c>
      <c r="E229" s="2" t="s">
        <v>2114</v>
      </c>
      <c r="F229" s="2" t="s">
        <v>1318</v>
      </c>
      <c r="G229" s="2" t="s">
        <v>1596</v>
      </c>
      <c r="H229" s="2" t="s">
        <v>1319</v>
      </c>
      <c r="I229" s="2" t="s">
        <v>1320</v>
      </c>
      <c r="J229" s="2" t="s">
        <v>2570</v>
      </c>
      <c r="K229" s="2" t="s">
        <v>2571</v>
      </c>
      <c r="L229" s="2" t="s">
        <v>1619</v>
      </c>
      <c r="M229" s="2"/>
      <c r="N229" s="2" t="s">
        <v>2115</v>
      </c>
    </row>
    <row r="230">
      <c r="A230" s="2">
        <v>229</v>
      </c>
      <c r="B230" s="2" t="s">
        <v>980</v>
      </c>
      <c r="C230" s="2" t="s">
        <v>41</v>
      </c>
      <c r="D230" s="2" t="s">
        <v>1321</v>
      </c>
      <c r="E230" s="2" t="s">
        <v>2116</v>
      </c>
      <c r="F230" s="2" t="s">
        <v>1322</v>
      </c>
      <c r="G230" s="2" t="s">
        <v>1596</v>
      </c>
      <c r="H230" s="2" t="s">
        <v>1323</v>
      </c>
      <c r="I230" s="2" t="s">
        <v>1324</v>
      </c>
      <c r="J230" s="2" t="s">
        <v>2572</v>
      </c>
      <c r="K230" s="2" t="s">
        <v>2573</v>
      </c>
      <c r="L230" s="2" t="s">
        <v>1593</v>
      </c>
      <c r="M230" s="2" t="s">
        <v>145</v>
      </c>
      <c r="N230" s="2" t="s">
        <v>2117</v>
      </c>
    </row>
    <row r="231">
      <c r="A231" s="2">
        <v>230</v>
      </c>
      <c r="B231" s="2" t="s">
        <v>980</v>
      </c>
      <c r="C231" s="2" t="s">
        <v>56</v>
      </c>
      <c r="D231" s="2" t="s">
        <v>1325</v>
      </c>
      <c r="E231" s="2" t="s">
        <v>2118</v>
      </c>
      <c r="F231" s="2" t="s">
        <v>281</v>
      </c>
      <c r="G231" s="2" t="s">
        <v>2119</v>
      </c>
      <c r="H231" s="2" t="s">
        <v>1327</v>
      </c>
      <c r="I231" s="2" t="s">
        <v>1328</v>
      </c>
      <c r="J231" s="2"/>
      <c r="K231" s="2" t="s">
        <v>2574</v>
      </c>
      <c r="L231" s="2" t="s">
        <v>1593</v>
      </c>
      <c r="M231" s="2"/>
      <c r="N231" s="2" t="s">
        <v>2120</v>
      </c>
    </row>
    <row r="232">
      <c r="A232" s="2">
        <v>231</v>
      </c>
      <c r="B232" s="2" t="s">
        <v>980</v>
      </c>
      <c r="C232" s="2" t="s">
        <v>239</v>
      </c>
      <c r="D232" s="2" t="s">
        <v>1329</v>
      </c>
      <c r="E232" s="2" t="s">
        <v>2121</v>
      </c>
      <c r="F232" s="2" t="s">
        <v>1330</v>
      </c>
      <c r="G232" s="2" t="s">
        <v>1644</v>
      </c>
      <c r="H232" s="2" t="s">
        <v>1331</v>
      </c>
      <c r="I232" s="2" t="s">
        <v>1332</v>
      </c>
      <c r="J232" s="2" t="s">
        <v>2575</v>
      </c>
      <c r="K232" s="2" t="s">
        <v>2576</v>
      </c>
      <c r="L232" s="2" t="s">
        <v>1619</v>
      </c>
      <c r="M232" s="2"/>
      <c r="N232" s="2" t="s">
        <v>2122</v>
      </c>
    </row>
    <row r="233">
      <c r="A233" s="2">
        <v>232</v>
      </c>
      <c r="B233" s="2" t="s">
        <v>980</v>
      </c>
      <c r="C233" s="2" t="s">
        <v>41</v>
      </c>
      <c r="D233" s="2" t="s">
        <v>1333</v>
      </c>
      <c r="E233" s="2" t="s">
        <v>2123</v>
      </c>
      <c r="F233" s="2" t="s">
        <v>1335</v>
      </c>
      <c r="G233" s="2" t="s">
        <v>1596</v>
      </c>
      <c r="H233" s="2" t="s">
        <v>1336</v>
      </c>
      <c r="I233" s="2" t="s">
        <v>1337</v>
      </c>
      <c r="J233" s="2" t="s">
        <v>2577</v>
      </c>
      <c r="K233" s="2" t="s">
        <v>2578</v>
      </c>
      <c r="L233" s="2" t="s">
        <v>1593</v>
      </c>
      <c r="M233" s="2"/>
      <c r="N233" s="2" t="s">
        <v>2124</v>
      </c>
    </row>
    <row r="234">
      <c r="A234" s="2">
        <v>233</v>
      </c>
      <c r="B234" s="2" t="s">
        <v>980</v>
      </c>
      <c r="C234" s="2" t="s">
        <v>117</v>
      </c>
      <c r="D234" s="2" t="s">
        <v>1338</v>
      </c>
      <c r="E234" s="2" t="s">
        <v>2125</v>
      </c>
      <c r="F234" s="2" t="s">
        <v>1341</v>
      </c>
      <c r="G234" s="2" t="s">
        <v>1596</v>
      </c>
      <c r="H234" s="2"/>
      <c r="I234" s="2" t="s">
        <v>1342</v>
      </c>
      <c r="J234" s="2" t="s">
        <v>2579</v>
      </c>
      <c r="K234" s="2" t="s">
        <v>2580</v>
      </c>
      <c r="L234" s="2" t="s">
        <v>1619</v>
      </c>
      <c r="M234" s="2"/>
      <c r="N234" s="2" t="s">
        <v>2126</v>
      </c>
    </row>
    <row r="235">
      <c r="A235" s="2">
        <v>234</v>
      </c>
      <c r="B235" s="2" t="s">
        <v>980</v>
      </c>
      <c r="C235" s="2" t="s">
        <v>41</v>
      </c>
      <c r="D235" s="2" t="s">
        <v>1343</v>
      </c>
      <c r="E235" s="2" t="s">
        <v>2127</v>
      </c>
      <c r="F235" s="2" t="s">
        <v>1110</v>
      </c>
      <c r="G235" s="2" t="s">
        <v>1596</v>
      </c>
      <c r="H235" s="2" t="s">
        <v>1345</v>
      </c>
      <c r="I235" s="2" t="s">
        <v>1346</v>
      </c>
      <c r="J235" s="2" t="s">
        <v>2581</v>
      </c>
      <c r="K235" s="2" t="s">
        <v>2582</v>
      </c>
      <c r="L235" s="2" t="s">
        <v>1593</v>
      </c>
      <c r="M235" s="2" t="s">
        <v>197</v>
      </c>
      <c r="N235" s="2" t="s">
        <v>2128</v>
      </c>
    </row>
    <row r="236">
      <c r="A236" s="2">
        <v>235</v>
      </c>
      <c r="B236" s="2" t="s">
        <v>980</v>
      </c>
      <c r="C236" s="2" t="s">
        <v>41</v>
      </c>
      <c r="D236" s="2" t="s">
        <v>1347</v>
      </c>
      <c r="E236" s="2" t="s">
        <v>2129</v>
      </c>
      <c r="F236" s="2" t="s">
        <v>1059</v>
      </c>
      <c r="G236" s="2" t="s">
        <v>1596</v>
      </c>
      <c r="H236" s="2" t="s">
        <v>1350</v>
      </c>
      <c r="I236" s="2" t="s">
        <v>1351</v>
      </c>
      <c r="J236" s="2" t="s">
        <v>2583</v>
      </c>
      <c r="K236" s="2" t="s">
        <v>2584</v>
      </c>
      <c r="L236" s="2" t="s">
        <v>1619</v>
      </c>
      <c r="M236" s="2"/>
      <c r="N236" s="2" t="s">
        <v>2130</v>
      </c>
    </row>
    <row r="237">
      <c r="A237" s="2">
        <v>236</v>
      </c>
      <c r="B237" s="2" t="s">
        <v>980</v>
      </c>
      <c r="C237" s="2" t="s">
        <v>117</v>
      </c>
      <c r="D237" s="2" t="s">
        <v>1352</v>
      </c>
      <c r="E237" s="2" t="s">
        <v>2131</v>
      </c>
      <c r="F237" s="2" t="s">
        <v>1355</v>
      </c>
      <c r="G237" s="2" t="s">
        <v>1596</v>
      </c>
      <c r="H237" s="2" t="s">
        <v>1356</v>
      </c>
      <c r="I237" s="2" t="s">
        <v>1357</v>
      </c>
      <c r="J237" s="2" t="s">
        <v>2585</v>
      </c>
      <c r="K237" s="2" t="s">
        <v>2586</v>
      </c>
      <c r="L237" s="2" t="s">
        <v>1619</v>
      </c>
      <c r="M237" s="2"/>
      <c r="N237" s="2" t="s">
        <v>2132</v>
      </c>
    </row>
    <row r="238">
      <c r="A238" s="2">
        <v>237</v>
      </c>
      <c r="B238" s="2" t="s">
        <v>980</v>
      </c>
      <c r="C238" s="2" t="s">
        <v>41</v>
      </c>
      <c r="D238" s="2" t="s">
        <v>1358</v>
      </c>
      <c r="E238" s="2" t="s">
        <v>2133</v>
      </c>
      <c r="F238" s="2" t="s">
        <v>1361</v>
      </c>
      <c r="G238" s="2" t="s">
        <v>1596</v>
      </c>
      <c r="H238" s="2" t="s">
        <v>1362</v>
      </c>
      <c r="I238" s="2" t="s">
        <v>1363</v>
      </c>
      <c r="J238" s="2" t="s">
        <v>2587</v>
      </c>
      <c r="K238" s="2" t="s">
        <v>2588</v>
      </c>
      <c r="L238" s="2" t="s">
        <v>1619</v>
      </c>
      <c r="M238" s="2"/>
      <c r="N238" s="2" t="s">
        <v>2134</v>
      </c>
    </row>
    <row r="239">
      <c r="A239" s="2">
        <v>238</v>
      </c>
      <c r="B239" s="2" t="s">
        <v>980</v>
      </c>
      <c r="C239" s="2" t="s">
        <v>41</v>
      </c>
      <c r="D239" s="2" t="s">
        <v>1364</v>
      </c>
      <c r="E239" s="2" t="s">
        <v>2135</v>
      </c>
      <c r="F239" s="2" t="s">
        <v>1367</v>
      </c>
      <c r="G239" s="2" t="s">
        <v>1596</v>
      </c>
      <c r="H239" s="2" t="s">
        <v>1368</v>
      </c>
      <c r="I239" s="2" t="s">
        <v>1369</v>
      </c>
      <c r="J239" s="2" t="s">
        <v>2589</v>
      </c>
      <c r="K239" s="2" t="s">
        <v>2590</v>
      </c>
      <c r="L239" s="2" t="s">
        <v>1619</v>
      </c>
      <c r="M239" s="2"/>
      <c r="N239" s="2" t="s">
        <v>2136</v>
      </c>
    </row>
    <row r="240">
      <c r="A240" s="2">
        <v>239</v>
      </c>
      <c r="B240" s="2" t="s">
        <v>980</v>
      </c>
      <c r="C240" s="2" t="s">
        <v>117</v>
      </c>
      <c r="D240" s="2" t="s">
        <v>1370</v>
      </c>
      <c r="E240" s="2" t="s">
        <v>2137</v>
      </c>
      <c r="F240" s="2" t="s">
        <v>1372</v>
      </c>
      <c r="G240" s="2" t="s">
        <v>1596</v>
      </c>
      <c r="H240" s="2" t="s">
        <v>1373</v>
      </c>
      <c r="I240" s="2" t="s">
        <v>1374</v>
      </c>
      <c r="J240" s="2" t="s">
        <v>2591</v>
      </c>
      <c r="K240" s="2"/>
      <c r="L240" s="2" t="s">
        <v>1593</v>
      </c>
      <c r="M240" s="2"/>
      <c r="N240" s="2" t="s">
        <v>2138</v>
      </c>
    </row>
    <row r="241">
      <c r="A241" s="2">
        <v>240</v>
      </c>
      <c r="B241" s="2" t="s">
        <v>980</v>
      </c>
      <c r="C241" s="2" t="s">
        <v>56</v>
      </c>
      <c r="D241" s="2" t="s">
        <v>1375</v>
      </c>
      <c r="E241" s="2" t="s">
        <v>2139</v>
      </c>
      <c r="F241" s="2" t="s">
        <v>1377</v>
      </c>
      <c r="G241" s="2" t="s">
        <v>2140</v>
      </c>
      <c r="H241" s="2" t="s">
        <v>1378</v>
      </c>
      <c r="I241" s="2" t="s">
        <v>1379</v>
      </c>
      <c r="J241" s="2"/>
      <c r="K241" s="2" t="s">
        <v>2592</v>
      </c>
      <c r="L241" s="2" t="s">
        <v>1593</v>
      </c>
      <c r="M241" s="2" t="s">
        <v>81</v>
      </c>
      <c r="N241" s="2" t="s">
        <v>2141</v>
      </c>
    </row>
    <row r="242">
      <c r="A242" s="2">
        <v>241</v>
      </c>
      <c r="B242" s="2" t="s">
        <v>980</v>
      </c>
      <c r="C242" s="2" t="s">
        <v>192</v>
      </c>
      <c r="D242" s="2" t="s">
        <v>1380</v>
      </c>
      <c r="E242" s="2" t="s">
        <v>2142</v>
      </c>
      <c r="F242" s="2" t="s">
        <v>1381</v>
      </c>
      <c r="G242" s="2" t="s">
        <v>1723</v>
      </c>
      <c r="H242" s="2" t="s">
        <v>1382</v>
      </c>
      <c r="I242" s="2" t="s">
        <v>1383</v>
      </c>
      <c r="J242" s="2" t="s">
        <v>2593</v>
      </c>
      <c r="K242" s="2" t="s">
        <v>2594</v>
      </c>
      <c r="L242" s="2" t="s">
        <v>1619</v>
      </c>
      <c r="M242" s="2" t="s">
        <v>563</v>
      </c>
      <c r="N242" s="2" t="s">
        <v>2143</v>
      </c>
    </row>
    <row r="243">
      <c r="A243" s="2">
        <v>242</v>
      </c>
      <c r="B243" s="2" t="s">
        <v>980</v>
      </c>
      <c r="C243" s="2" t="s">
        <v>41</v>
      </c>
      <c r="D243" s="2" t="s">
        <v>1384</v>
      </c>
      <c r="E243" s="2" t="s">
        <v>2144</v>
      </c>
      <c r="F243" s="2" t="s">
        <v>1388</v>
      </c>
      <c r="G243" s="2" t="s">
        <v>1606</v>
      </c>
      <c r="H243" s="2" t="s">
        <v>1389</v>
      </c>
      <c r="I243" s="2" t="s">
        <v>1390</v>
      </c>
      <c r="J243" s="2" t="s">
        <v>2595</v>
      </c>
      <c r="K243" s="2" t="s">
        <v>2596</v>
      </c>
      <c r="L243" s="2" t="s">
        <v>1593</v>
      </c>
      <c r="M243" s="2"/>
      <c r="N243" s="2" t="s">
        <v>2145</v>
      </c>
    </row>
    <row r="244">
      <c r="A244" s="2">
        <v>243</v>
      </c>
      <c r="B244" s="2" t="s">
        <v>980</v>
      </c>
      <c r="C244" s="2" t="s">
        <v>239</v>
      </c>
      <c r="D244" s="2" t="s">
        <v>1391</v>
      </c>
      <c r="E244" s="2" t="s">
        <v>2146</v>
      </c>
      <c r="F244" s="2" t="s">
        <v>1394</v>
      </c>
      <c r="G244" s="2" t="s">
        <v>1723</v>
      </c>
      <c r="H244" s="2" t="s">
        <v>1395</v>
      </c>
      <c r="I244" s="2" t="s">
        <v>1396</v>
      </c>
      <c r="J244" s="2" t="s">
        <v>2597</v>
      </c>
      <c r="K244" s="2" t="s">
        <v>2598</v>
      </c>
      <c r="L244" s="2" t="s">
        <v>1619</v>
      </c>
      <c r="M244" s="2"/>
      <c r="N244" s="2" t="s">
        <v>2147</v>
      </c>
    </row>
    <row r="245">
      <c r="A245" s="2">
        <v>244</v>
      </c>
      <c r="B245" s="2" t="s">
        <v>980</v>
      </c>
      <c r="C245" s="2" t="s">
        <v>82</v>
      </c>
      <c r="D245" s="2" t="s">
        <v>1397</v>
      </c>
      <c r="E245" s="2" t="s">
        <v>2148</v>
      </c>
      <c r="F245" s="2" t="s">
        <v>1402</v>
      </c>
      <c r="G245" s="2" t="s">
        <v>1644</v>
      </c>
      <c r="H245" s="2" t="s">
        <v>1403</v>
      </c>
      <c r="I245" s="2" t="s">
        <v>1404</v>
      </c>
      <c r="J245" s="2" t="s">
        <v>2599</v>
      </c>
      <c r="K245" s="2" t="s">
        <v>2600</v>
      </c>
      <c r="L245" s="2" t="s">
        <v>1619</v>
      </c>
      <c r="M245" s="2"/>
      <c r="N245" s="2" t="s">
        <v>2149</v>
      </c>
    </row>
    <row r="246">
      <c r="A246" s="2">
        <v>245</v>
      </c>
      <c r="B246" s="2" t="s">
        <v>980</v>
      </c>
      <c r="C246" s="2" t="s">
        <v>82</v>
      </c>
      <c r="D246" s="2" t="s">
        <v>1405</v>
      </c>
      <c r="E246" s="2" t="s">
        <v>2150</v>
      </c>
      <c r="F246" s="2" t="s">
        <v>1408</v>
      </c>
      <c r="G246" s="2" t="s">
        <v>1606</v>
      </c>
      <c r="H246" s="2" t="s">
        <v>1409</v>
      </c>
      <c r="I246" s="2" t="s">
        <v>1410</v>
      </c>
      <c r="J246" s="2" t="s">
        <v>2601</v>
      </c>
      <c r="K246" s="2" t="s">
        <v>2602</v>
      </c>
      <c r="L246" s="2" t="s">
        <v>1619</v>
      </c>
      <c r="M246" s="2"/>
      <c r="N246" s="2" t="s">
        <v>2151</v>
      </c>
    </row>
    <row r="247">
      <c r="A247" s="2">
        <v>246</v>
      </c>
      <c r="B247" s="2" t="s">
        <v>980</v>
      </c>
      <c r="C247" s="2" t="s">
        <v>110</v>
      </c>
      <c r="D247" s="2" t="s">
        <v>1411</v>
      </c>
      <c r="E247" s="2" t="s">
        <v>2152</v>
      </c>
      <c r="F247" s="2" t="s">
        <v>1414</v>
      </c>
      <c r="G247" s="2" t="s">
        <v>1625</v>
      </c>
      <c r="H247" s="2" t="s">
        <v>1415</v>
      </c>
      <c r="I247" s="2" t="s">
        <v>1416</v>
      </c>
      <c r="J247" s="2" t="s">
        <v>2603</v>
      </c>
      <c r="K247" s="2"/>
      <c r="L247" s="2" t="s">
        <v>1593</v>
      </c>
      <c r="M247" s="2" t="s">
        <v>81</v>
      </c>
      <c r="N247" s="2" t="s">
        <v>2153</v>
      </c>
    </row>
    <row r="248">
      <c r="A248" s="2">
        <v>247</v>
      </c>
      <c r="B248" s="2" t="s">
        <v>980</v>
      </c>
      <c r="C248" s="2" t="s">
        <v>117</v>
      </c>
      <c r="D248" s="2" t="s">
        <v>1417</v>
      </c>
      <c r="E248" s="2" t="s">
        <v>2154</v>
      </c>
      <c r="F248" s="2" t="s">
        <v>1271</v>
      </c>
      <c r="G248" s="2" t="s">
        <v>1715</v>
      </c>
      <c r="H248" s="2" t="s">
        <v>1419</v>
      </c>
      <c r="I248" s="2" t="s">
        <v>1420</v>
      </c>
      <c r="J248" s="2" t="s">
        <v>2604</v>
      </c>
      <c r="K248" s="2" t="s">
        <v>2605</v>
      </c>
      <c r="L248" s="2" t="s">
        <v>1593</v>
      </c>
      <c r="M248" s="2" t="s">
        <v>81</v>
      </c>
      <c r="N248" s="2" t="s">
        <v>2155</v>
      </c>
    </row>
    <row r="249">
      <c r="A249" s="2">
        <v>248</v>
      </c>
      <c r="B249" s="2" t="s">
        <v>980</v>
      </c>
      <c r="C249" s="2" t="s">
        <v>117</v>
      </c>
      <c r="D249" s="2" t="s">
        <v>1421</v>
      </c>
      <c r="E249" s="2" t="s">
        <v>2156</v>
      </c>
      <c r="F249" s="2" t="s">
        <v>78</v>
      </c>
      <c r="G249" s="2" t="s">
        <v>1634</v>
      </c>
      <c r="H249" s="2" t="s">
        <v>1424</v>
      </c>
      <c r="I249" s="2" t="s">
        <v>1425</v>
      </c>
      <c r="J249" s="2" t="s">
        <v>2606</v>
      </c>
      <c r="K249" s="2" t="s">
        <v>2607</v>
      </c>
      <c r="L249" s="2" t="s">
        <v>1593</v>
      </c>
      <c r="M249" s="2" t="s">
        <v>81</v>
      </c>
      <c r="N249" s="2" t="s">
        <v>2157</v>
      </c>
    </row>
    <row r="250">
      <c r="A250" s="2">
        <v>249</v>
      </c>
      <c r="B250" s="2" t="s">
        <v>980</v>
      </c>
      <c r="C250" s="2" t="s">
        <v>131</v>
      </c>
      <c r="D250" s="2" t="s">
        <v>1426</v>
      </c>
      <c r="E250" s="2" t="s">
        <v>2158</v>
      </c>
      <c r="F250" s="2" t="s">
        <v>1427</v>
      </c>
      <c r="G250" s="2" t="s">
        <v>1652</v>
      </c>
      <c r="H250" s="2" t="s">
        <v>1428</v>
      </c>
      <c r="I250" s="2" t="s">
        <v>1429</v>
      </c>
      <c r="J250" s="2"/>
      <c r="K250" s="2" t="s">
        <v>2608</v>
      </c>
      <c r="L250" s="2" t="s">
        <v>1597</v>
      </c>
      <c r="M250" s="2" t="s">
        <v>563</v>
      </c>
      <c r="N250" s="2" t="s">
        <v>2159</v>
      </c>
    </row>
    <row r="251">
      <c r="A251" s="2">
        <v>250</v>
      </c>
      <c r="B251" s="2" t="s">
        <v>980</v>
      </c>
      <c r="C251" s="2" t="s">
        <v>192</v>
      </c>
      <c r="D251" s="2" t="s">
        <v>1430</v>
      </c>
      <c r="E251" s="2" t="s">
        <v>2160</v>
      </c>
      <c r="F251" s="2" t="s">
        <v>1078</v>
      </c>
      <c r="G251" s="2" t="s">
        <v>2161</v>
      </c>
      <c r="H251" s="2" t="s">
        <v>1433</v>
      </c>
      <c r="I251" s="2" t="s">
        <v>1434</v>
      </c>
      <c r="J251" s="2" t="s">
        <v>2609</v>
      </c>
      <c r="K251" s="2" t="s">
        <v>2610</v>
      </c>
      <c r="L251" s="2" t="s">
        <v>1593</v>
      </c>
      <c r="M251" s="2" t="s">
        <v>145</v>
      </c>
      <c r="N251" s="2" t="s">
        <v>2162</v>
      </c>
    </row>
    <row r="252">
      <c r="A252" s="2">
        <v>251</v>
      </c>
      <c r="B252" s="2" t="s">
        <v>980</v>
      </c>
      <c r="C252" s="2" t="s">
        <v>117</v>
      </c>
      <c r="D252" s="2" t="s">
        <v>1435</v>
      </c>
      <c r="E252" s="2" t="s">
        <v>2163</v>
      </c>
      <c r="F252" s="2" t="s">
        <v>281</v>
      </c>
      <c r="G252" s="2" t="s">
        <v>1644</v>
      </c>
      <c r="H252" s="2" t="s">
        <v>1438</v>
      </c>
      <c r="I252" s="2" t="s">
        <v>1439</v>
      </c>
      <c r="J252" s="2"/>
      <c r="K252" s="2" t="s">
        <v>2611</v>
      </c>
      <c r="L252" s="2" t="s">
        <v>1593</v>
      </c>
      <c r="M252" s="2"/>
      <c r="N252" s="2" t="s">
        <v>2164</v>
      </c>
    </row>
    <row r="253">
      <c r="A253" s="2">
        <v>252</v>
      </c>
      <c r="B253" s="2" t="s">
        <v>980</v>
      </c>
      <c r="C253" s="2" t="s">
        <v>56</v>
      </c>
      <c r="D253" s="2" t="s">
        <v>1440</v>
      </c>
      <c r="E253" s="2" t="s">
        <v>2165</v>
      </c>
      <c r="F253" s="2" t="s">
        <v>1442</v>
      </c>
      <c r="G253" s="2" t="s">
        <v>1596</v>
      </c>
      <c r="H253" s="2" t="s">
        <v>1443</v>
      </c>
      <c r="I253" s="2" t="s">
        <v>1444</v>
      </c>
      <c r="J253" s="2" t="s">
        <v>2612</v>
      </c>
      <c r="K253" s="2"/>
      <c r="L253" s="2" t="s">
        <v>1597</v>
      </c>
      <c r="M253" s="2"/>
      <c r="N253" s="2" t="s">
        <v>2166</v>
      </c>
    </row>
    <row r="254">
      <c r="A254" s="2">
        <v>253</v>
      </c>
      <c r="B254" s="2" t="s">
        <v>980</v>
      </c>
      <c r="C254" s="2" t="s">
        <v>646</v>
      </c>
      <c r="D254" s="2" t="s">
        <v>1445</v>
      </c>
      <c r="E254" s="2" t="s">
        <v>2167</v>
      </c>
      <c r="F254" s="2" t="s">
        <v>1099</v>
      </c>
      <c r="G254" s="2" t="s">
        <v>2168</v>
      </c>
      <c r="H254" s="2" t="s">
        <v>1448</v>
      </c>
      <c r="I254" s="2" t="s">
        <v>1449</v>
      </c>
      <c r="J254" s="2"/>
      <c r="K254" s="2" t="s">
        <v>2613</v>
      </c>
      <c r="L254" s="2" t="s">
        <v>1593</v>
      </c>
      <c r="M254" s="2"/>
      <c r="N254" s="2" t="s">
        <v>2169</v>
      </c>
    </row>
    <row r="255">
      <c r="A255" s="2">
        <v>254</v>
      </c>
      <c r="B255" s="2" t="s">
        <v>980</v>
      </c>
      <c r="C255" s="2" t="s">
        <v>41</v>
      </c>
      <c r="D255" s="2" t="s">
        <v>1450</v>
      </c>
      <c r="E255" s="2" t="s">
        <v>2170</v>
      </c>
      <c r="F255" s="2" t="s">
        <v>1454</v>
      </c>
      <c r="G255" s="2" t="s">
        <v>1596</v>
      </c>
      <c r="H255" s="2" t="s">
        <v>1455</v>
      </c>
      <c r="I255" s="2" t="s">
        <v>1456</v>
      </c>
      <c r="J255" s="2" t="s">
        <v>2614</v>
      </c>
      <c r="K255" s="2"/>
      <c r="L255" s="2" t="s">
        <v>1593</v>
      </c>
      <c r="M255" s="2" t="s">
        <v>145</v>
      </c>
      <c r="N255" s="2" t="s">
        <v>2171</v>
      </c>
    </row>
    <row r="256">
      <c r="A256" s="2">
        <v>255</v>
      </c>
      <c r="B256" s="2" t="s">
        <v>980</v>
      </c>
      <c r="C256" s="2" t="s">
        <v>117</v>
      </c>
      <c r="D256" s="2" t="s">
        <v>1457</v>
      </c>
      <c r="E256" s="2" t="s">
        <v>2172</v>
      </c>
      <c r="F256" s="2" t="s">
        <v>78</v>
      </c>
      <c r="G256" s="2" t="s">
        <v>1733</v>
      </c>
      <c r="H256" s="2" t="s">
        <v>1459</v>
      </c>
      <c r="I256" s="2" t="s">
        <v>1460</v>
      </c>
      <c r="J256" s="2" t="s">
        <v>2615</v>
      </c>
      <c r="K256" s="2" t="s">
        <v>2616</v>
      </c>
      <c r="L256" s="2" t="s">
        <v>1593</v>
      </c>
      <c r="M256" s="2" t="s">
        <v>81</v>
      </c>
      <c r="N256" s="2" t="s">
        <v>2173</v>
      </c>
    </row>
    <row r="257">
      <c r="A257" s="2">
        <v>256</v>
      </c>
      <c r="B257" s="2" t="s">
        <v>980</v>
      </c>
      <c r="C257" s="2" t="s">
        <v>82</v>
      </c>
      <c r="D257" s="2" t="s">
        <v>1461</v>
      </c>
      <c r="E257" s="2" t="s">
        <v>2174</v>
      </c>
      <c r="F257" s="2" t="s">
        <v>1110</v>
      </c>
      <c r="G257" s="2" t="s">
        <v>1609</v>
      </c>
      <c r="H257" s="2" t="s">
        <v>1464</v>
      </c>
      <c r="I257" s="2" t="s">
        <v>1465</v>
      </c>
      <c r="J257" s="2" t="s">
        <v>2617</v>
      </c>
      <c r="K257" s="2" t="s">
        <v>2618</v>
      </c>
      <c r="L257" s="2" t="s">
        <v>1593</v>
      </c>
      <c r="M257" s="2" t="s">
        <v>191</v>
      </c>
      <c r="N257" s="2" t="s">
        <v>2175</v>
      </c>
    </row>
    <row r="258">
      <c r="A258" s="2">
        <v>257</v>
      </c>
      <c r="B258" s="2" t="s">
        <v>980</v>
      </c>
      <c r="C258" s="2" t="s">
        <v>131</v>
      </c>
      <c r="D258" s="2" t="s">
        <v>1466</v>
      </c>
      <c r="E258" s="2" t="s">
        <v>2176</v>
      </c>
      <c r="F258" s="2" t="s">
        <v>1468</v>
      </c>
      <c r="G258" s="2" t="s">
        <v>1606</v>
      </c>
      <c r="H258" s="2" t="s">
        <v>1469</v>
      </c>
      <c r="I258" s="2" t="s">
        <v>1470</v>
      </c>
      <c r="J258" s="2" t="s">
        <v>2619</v>
      </c>
      <c r="K258" s="2"/>
      <c r="L258" s="2" t="s">
        <v>1593</v>
      </c>
      <c r="M258" s="2" t="s">
        <v>145</v>
      </c>
      <c r="N258" s="2" t="s">
        <v>2177</v>
      </c>
    </row>
    <row r="259">
      <c r="A259" s="2">
        <v>258</v>
      </c>
      <c r="B259" s="2" t="s">
        <v>980</v>
      </c>
      <c r="C259" s="2" t="s">
        <v>1471</v>
      </c>
      <c r="D259" s="2" t="s">
        <v>1472</v>
      </c>
      <c r="E259" s="2" t="s">
        <v>2178</v>
      </c>
      <c r="F259" s="2" t="s">
        <v>1473</v>
      </c>
      <c r="G259" s="2" t="s">
        <v>2179</v>
      </c>
      <c r="H259" s="2" t="s">
        <v>1474</v>
      </c>
      <c r="I259" s="2" t="s">
        <v>1475</v>
      </c>
      <c r="J259" s="2"/>
      <c r="K259" s="2" t="s">
        <v>2620</v>
      </c>
      <c r="L259" s="2" t="s">
        <v>1593</v>
      </c>
      <c r="M259" s="2"/>
      <c r="N259" s="2" t="s">
        <v>2180</v>
      </c>
    </row>
    <row r="260">
      <c r="A260" s="2">
        <v>259</v>
      </c>
      <c r="B260" s="2" t="s">
        <v>980</v>
      </c>
      <c r="C260" s="2" t="s">
        <v>82</v>
      </c>
      <c r="D260" s="2" t="s">
        <v>1476</v>
      </c>
      <c r="E260" s="2" t="s">
        <v>2181</v>
      </c>
      <c r="F260" s="2" t="s">
        <v>1059</v>
      </c>
      <c r="G260" s="2" t="s">
        <v>1596</v>
      </c>
      <c r="H260" s="2" t="s">
        <v>1478</v>
      </c>
      <c r="I260" s="2" t="s">
        <v>1479</v>
      </c>
      <c r="J260" s="2" t="s">
        <v>2621</v>
      </c>
      <c r="K260" s="2" t="s">
        <v>2622</v>
      </c>
      <c r="L260" s="2" t="s">
        <v>1619</v>
      </c>
      <c r="M260" s="2"/>
      <c r="N260" s="2" t="s">
        <v>2182</v>
      </c>
    </row>
    <row r="261">
      <c r="A261" s="2">
        <v>260</v>
      </c>
      <c r="B261" s="2" t="s">
        <v>980</v>
      </c>
      <c r="C261" s="2" t="s">
        <v>82</v>
      </c>
      <c r="D261" s="2" t="s">
        <v>1480</v>
      </c>
      <c r="E261" s="2" t="s">
        <v>2183</v>
      </c>
      <c r="F261" s="2" t="s">
        <v>78</v>
      </c>
      <c r="G261" s="2" t="s">
        <v>1707</v>
      </c>
      <c r="H261" s="2" t="s">
        <v>1482</v>
      </c>
      <c r="I261" s="2" t="s">
        <v>1483</v>
      </c>
      <c r="J261" s="2" t="s">
        <v>2623</v>
      </c>
      <c r="K261" s="2" t="s">
        <v>2624</v>
      </c>
      <c r="L261" s="2" t="s">
        <v>1593</v>
      </c>
      <c r="M261" s="2" t="s">
        <v>81</v>
      </c>
      <c r="N261" s="2" t="s">
        <v>2184</v>
      </c>
    </row>
    <row r="262">
      <c r="A262" s="2">
        <v>261</v>
      </c>
      <c r="B262" s="2" t="s">
        <v>980</v>
      </c>
      <c r="C262" s="2" t="s">
        <v>82</v>
      </c>
      <c r="D262" s="2" t="s">
        <v>1484</v>
      </c>
      <c r="E262" s="2" t="s">
        <v>2185</v>
      </c>
      <c r="F262" s="2" t="s">
        <v>1488</v>
      </c>
      <c r="G262" s="2" t="s">
        <v>1644</v>
      </c>
      <c r="H262" s="2" t="s">
        <v>1489</v>
      </c>
      <c r="I262" s="2" t="s">
        <v>1490</v>
      </c>
      <c r="J262" s="2" t="s">
        <v>2625</v>
      </c>
      <c r="K262" s="2" t="s">
        <v>2626</v>
      </c>
      <c r="L262" s="2" t="s">
        <v>1619</v>
      </c>
      <c r="M262" s="2"/>
      <c r="N262" s="2" t="s">
        <v>2186</v>
      </c>
    </row>
    <row r="263">
      <c r="A263" s="2">
        <v>262</v>
      </c>
      <c r="B263" s="2" t="s">
        <v>980</v>
      </c>
      <c r="C263" s="2" t="s">
        <v>82</v>
      </c>
      <c r="D263" s="2" t="s">
        <v>1491</v>
      </c>
      <c r="E263" s="2" t="s">
        <v>2187</v>
      </c>
      <c r="F263" s="2" t="s">
        <v>1494</v>
      </c>
      <c r="G263" s="2" t="s">
        <v>1742</v>
      </c>
      <c r="H263" s="2" t="s">
        <v>1495</v>
      </c>
      <c r="I263" s="2" t="s">
        <v>1496</v>
      </c>
      <c r="J263" s="2"/>
      <c r="K263" s="2" t="s">
        <v>2627</v>
      </c>
      <c r="L263" s="2" t="s">
        <v>1593</v>
      </c>
      <c r="M263" s="2"/>
      <c r="N263" s="2" t="s">
        <v>2188</v>
      </c>
    </row>
    <row r="264">
      <c r="A264" s="2">
        <v>263</v>
      </c>
      <c r="B264" s="2" t="s">
        <v>980</v>
      </c>
      <c r="C264" s="2" t="s">
        <v>82</v>
      </c>
      <c r="D264" s="2" t="s">
        <v>1497</v>
      </c>
      <c r="E264" s="2" t="s">
        <v>2189</v>
      </c>
      <c r="F264" s="2" t="s">
        <v>1276</v>
      </c>
      <c r="G264" s="2" t="s">
        <v>1807</v>
      </c>
      <c r="H264" s="2" t="s">
        <v>1499</v>
      </c>
      <c r="I264" s="2" t="s">
        <v>1500</v>
      </c>
      <c r="J264" s="2" t="s">
        <v>2628</v>
      </c>
      <c r="K264" s="2" t="s">
        <v>2629</v>
      </c>
      <c r="L264" s="2" t="s">
        <v>1593</v>
      </c>
      <c r="M264" s="2"/>
      <c r="N264" s="2" t="s">
        <v>2190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24"/>
    <col customWidth="1" min="2" max="3" width="46"/>
    <col customWidth="1" min="4" max="4" width="28"/>
    <col customWidth="1" min="5" max="5" width="46"/>
    <col customWidth="1" min="6" max="6" width="44"/>
  </cols>
  <sheetData>
    <row r="1">
      <c r="A1" s="6" t="s">
        <v>2630</v>
      </c>
      <c r="B1" s="6"/>
      <c r="C1" s="6"/>
      <c r="D1" s="6"/>
      <c r="E1" s="6"/>
      <c r="F1" s="6"/>
    </row>
    <row r="3">
      <c r="A3" s="1" t="s">
        <v>2631</v>
      </c>
      <c r="B3" s="1" t="s">
        <v>1576</v>
      </c>
      <c r="C3" s="1" t="s">
        <v>5</v>
      </c>
    </row>
    <row r="4">
      <c r="A4" s="2" t="s">
        <v>2632</v>
      </c>
      <c r="B4" s="2" t="s">
        <v>2633</v>
      </c>
      <c r="C4" s="2" t="s">
        <v>2634</v>
      </c>
    </row>
    <row r="5">
      <c r="A5" s="2" t="s">
        <v>2635</v>
      </c>
      <c r="B5" s="2" t="s">
        <v>2636</v>
      </c>
      <c r="C5" s="2" t="s">
        <v>2637</v>
      </c>
    </row>
    <row r="6">
      <c r="A6" s="2" t="s">
        <v>2638</v>
      </c>
      <c r="B6" s="2" t="s">
        <v>2639</v>
      </c>
      <c r="C6" s="2" t="s">
        <v>2640</v>
      </c>
    </row>
    <row r="7">
      <c r="A7" s="2" t="s">
        <v>2641</v>
      </c>
      <c r="B7" s="2" t="s">
        <v>2642</v>
      </c>
      <c r="C7" s="2" t="s">
        <v>2643</v>
      </c>
    </row>
    <row r="8">
      <c r="A8" s="2" t="s">
        <v>2644</v>
      </c>
      <c r="B8" s="2" t="s">
        <v>2645</v>
      </c>
      <c r="C8" s="2" t="s">
        <v>2646</v>
      </c>
    </row>
    <row r="10">
      <c r="A10" s="4" t="s">
        <v>2647</v>
      </c>
      <c r="B10" s="4" t="s">
        <v>1503</v>
      </c>
      <c r="D10" s="4" t="s">
        <v>2648</v>
      </c>
      <c r="E10" s="4" t="s">
        <v>1503</v>
      </c>
    </row>
    <row r="11">
      <c r="A11" t="s">
        <v>2649</v>
      </c>
      <c r="B11">
        <f>COUNTA('All search hits'!D:D)-1</f>
        <v>281</v>
      </c>
      <c r="D11" t="s">
        <v>1570</v>
      </c>
      <c r="E11">
        <f>COUNTIF('Stage 2 triage'!M:M,"A — Must read")</f>
        <v>32</v>
      </c>
    </row>
    <row r="12">
      <c r="A12" t="s">
        <v>1508</v>
      </c>
      <c r="B12">
        <f>COUNTA(Screening!C:C)-1</f>
        <v>263</v>
      </c>
      <c r="D12" t="s">
        <v>1571</v>
      </c>
      <c r="E12">
        <f>COUNTIF('Stage 2 triage'!M:M,"B — Targeted skim")</f>
        <v>45</v>
      </c>
    </row>
    <row r="13">
      <c r="A13" t="s">
        <v>2650</v>
      </c>
      <c r="B13">
        <f>COUNTIF(Screening!F:F,"Core")+COUNTIF(Screening!F:F,"Supporting")</f>
        <v>231</v>
      </c>
      <c r="D13" t="s">
        <v>1572</v>
      </c>
      <c r="E13">
        <f>COUNTIF('Stage 2 triage'!M:M,"C — Background only")</f>
        <v>154</v>
      </c>
    </row>
    <row r="14">
      <c r="A14" t="s">
        <v>2651</v>
      </c>
      <c r="B14">
        <f>COUNTIF('Stage 2 triage'!M:M,"A — Must read")+COUNTIF('Stage 2 triage'!M:M,"B — Targeted skim")</f>
        <v>77</v>
      </c>
      <c r="D14" t="s">
        <v>2652</v>
      </c>
      <c r="E14">
        <f>SUM(E11:E13)</f>
        <v>231</v>
      </c>
    </row>
    <row r="15">
      <c r="A15" t="s">
        <v>2653</v>
      </c>
      <c r="B15">
        <f>COUNTIF('Stage 2 triage'!M:M,"A — Must read")</f>
        <v>32</v>
      </c>
    </row>
    <row r="17">
      <c r="A17" s="5" t="s">
        <v>2654</v>
      </c>
      <c r="B17" s="5"/>
      <c r="C17" s="5"/>
      <c r="D17" s="5"/>
      <c r="E17" s="5"/>
      <c r="F17" s="5"/>
    </row>
    <row r="18">
      <c r="A18" s="1" t="s">
        <v>2655</v>
      </c>
      <c r="B18" s="1" t="s">
        <v>2656</v>
      </c>
      <c r="C18" s="1" t="s">
        <v>2657</v>
      </c>
      <c r="D18" s="1" t="s">
        <v>2658</v>
      </c>
      <c r="E18" s="1" t="s">
        <v>2659</v>
      </c>
      <c r="F18" s="1" t="s">
        <v>2660</v>
      </c>
    </row>
    <row r="19">
      <c r="A19" s="2" t="s">
        <v>2661</v>
      </c>
      <c r="B19" s="2" t="s">
        <v>2662</v>
      </c>
      <c r="C19" s="2" t="s">
        <v>2663</v>
      </c>
      <c r="D19" s="2" t="s">
        <v>2664</v>
      </c>
      <c r="E19" s="2" t="s">
        <v>2665</v>
      </c>
      <c r="F19" s="2" t="s">
        <v>2666</v>
      </c>
    </row>
    <row r="20">
      <c r="A20" s="2" t="s">
        <v>2667</v>
      </c>
      <c r="B20" s="2" t="s">
        <v>2668</v>
      </c>
      <c r="C20" s="2" t="s">
        <v>2669</v>
      </c>
      <c r="D20" s="2" t="s">
        <v>2670</v>
      </c>
      <c r="E20" s="2" t="s">
        <v>2671</v>
      </c>
      <c r="F20" s="2" t="s">
        <v>2672</v>
      </c>
    </row>
    <row r="21">
      <c r="A21" s="2" t="s">
        <v>2673</v>
      </c>
      <c r="B21" s="2" t="s">
        <v>2674</v>
      </c>
      <c r="C21" s="2" t="s">
        <v>2675</v>
      </c>
      <c r="D21" s="2" t="s">
        <v>2676</v>
      </c>
      <c r="E21" s="2" t="s">
        <v>2677</v>
      </c>
      <c r="F21" s="2" t="s">
        <v>2678</v>
      </c>
    </row>
    <row r="22">
      <c r="A22" s="2" t="s">
        <v>2679</v>
      </c>
      <c r="B22" s="2" t="s">
        <v>2680</v>
      </c>
      <c r="C22" s="2" t="s">
        <v>2681</v>
      </c>
      <c r="D22" s="2" t="s">
        <v>2682</v>
      </c>
      <c r="E22" s="2" t="s">
        <v>2683</v>
      </c>
      <c r="F22" s="2" t="s">
        <v>2684</v>
      </c>
    </row>
    <row r="23">
      <c r="A23" s="2" t="s">
        <v>2685</v>
      </c>
      <c r="B23" s="2" t="s">
        <v>2686</v>
      </c>
      <c r="C23" s="2" t="s">
        <v>2687</v>
      </c>
      <c r="D23" s="2" t="s">
        <v>2688</v>
      </c>
      <c r="E23" s="2" t="s">
        <v>2689</v>
      </c>
      <c r="F23" s="2" t="s">
        <v>2690</v>
      </c>
    </row>
    <row r="25">
      <c r="A25" s="5" t="s">
        <v>2691</v>
      </c>
      <c r="B25" s="5"/>
      <c r="C25" s="5"/>
      <c r="D25" s="5"/>
      <c r="E25" s="5"/>
      <c r="F25" s="5"/>
    </row>
    <row r="26">
      <c r="A26" s="2" t="s">
        <v>2692</v>
      </c>
      <c r="B26" s="2"/>
      <c r="C26" s="2"/>
      <c r="D26" s="2"/>
      <c r="E26" s="2"/>
      <c r="F26" s="2"/>
    </row>
    <row r="27">
      <c r="A27" s="2"/>
      <c r="B27" s="2"/>
      <c r="C27" s="2"/>
      <c r="D27" s="2"/>
      <c r="E27" s="2"/>
      <c r="F27" s="2"/>
    </row>
    <row r="28">
      <c r="A28" s="2"/>
      <c r="B28" s="2"/>
      <c r="C28" s="2"/>
      <c r="D28" s="2"/>
      <c r="E28" s="2"/>
      <c r="F28" s="2"/>
    </row>
    <row r="29">
      <c r="A29" s="2"/>
      <c r="B29" s="2"/>
      <c r="C29" s="2"/>
      <c r="D29" s="2"/>
      <c r="E29" s="2"/>
      <c r="F29" s="2"/>
    </row>
    <row r="30">
      <c r="A30" s="2"/>
      <c r="B30" s="2"/>
      <c r="C30" s="2"/>
      <c r="D30" s="2"/>
      <c r="E30" s="2"/>
      <c r="F30" s="2"/>
    </row>
  </sheetData>
  <mergeCells count="4">
    <mergeCell ref="A1:F1"/>
    <mergeCell ref="A17:F17"/>
    <mergeCell ref="A25:F25"/>
    <mergeCell ref="A26:F3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5"/>
    <col customWidth="1" min="2" max="2" width="8"/>
    <col customWidth="1" min="3" max="3" width="58"/>
    <col customWidth="1" min="4" max="4" width="28"/>
    <col customWidth="1" min="5" max="5" width="16"/>
    <col customWidth="1" min="6" max="10" width="14"/>
    <col customWidth="1" min="11" max="11" width="12"/>
    <col customWidth="1" min="12" max="12" width="18"/>
    <col customWidth="1" min="13" max="13" width="22"/>
    <col customWidth="1" min="14" max="14" width="42"/>
    <col customWidth="1" min="15" max="15" width="68"/>
    <col customWidth="1" min="16" max="16" width="34"/>
  </cols>
  <sheetData>
    <row r="1">
      <c r="A1" s="1" t="s">
        <v>0</v>
      </c>
      <c r="B1" s="1" t="s">
        <v>1</v>
      </c>
      <c r="C1" s="1" t="s">
        <v>2</v>
      </c>
      <c r="D1" s="1" t="s">
        <v>2693</v>
      </c>
      <c r="E1" s="1" t="s">
        <v>2694</v>
      </c>
      <c r="F1" s="1" t="s">
        <v>2695</v>
      </c>
      <c r="G1" s="1" t="s">
        <v>2696</v>
      </c>
      <c r="H1" s="1" t="s">
        <v>2697</v>
      </c>
      <c r="I1" s="1" t="s">
        <v>2698</v>
      </c>
      <c r="J1" s="1" t="s">
        <v>2699</v>
      </c>
      <c r="K1" s="1" t="s">
        <v>2700</v>
      </c>
      <c r="L1" s="1" t="s">
        <v>2701</v>
      </c>
      <c r="M1" s="1" t="s">
        <v>1568</v>
      </c>
      <c r="N1" s="1" t="s">
        <v>2702</v>
      </c>
      <c r="O1" s="1" t="s">
        <v>2703</v>
      </c>
      <c r="P1" s="1" t="s">
        <v>19</v>
      </c>
    </row>
    <row r="2">
      <c r="A2" s="2">
        <v>85</v>
      </c>
      <c r="B2" s="2" t="s">
        <v>110</v>
      </c>
      <c r="C2" s="2" t="s">
        <v>532</v>
      </c>
      <c r="D2" s="2" t="s">
        <v>2704</v>
      </c>
      <c r="E2" s="2" t="s">
        <v>26</v>
      </c>
      <c r="F2" s="2">
        <v>2</v>
      </c>
      <c r="G2" s="2">
        <v>2</v>
      </c>
      <c r="H2" s="2">
        <v>2</v>
      </c>
      <c r="I2" s="2">
        <v>2</v>
      </c>
      <c r="J2" s="2">
        <v>2</v>
      </c>
      <c r="K2" s="2">
        <f t="shared" ref="K2:K9" si="0">SUM(F2:J2)</f>
        <v>10</v>
      </c>
      <c r="L2" s="2" t="s">
        <v>25</v>
      </c>
      <c r="M2" s="2" t="s">
        <v>1570</v>
      </c>
      <c r="N2" s="2" t="s">
        <v>2705</v>
      </c>
      <c r="O2" s="2" t="s">
        <v>2706</v>
      </c>
      <c r="P2" s="2" t="s">
        <v>537</v>
      </c>
    </row>
    <row r="3">
      <c r="A3" s="2">
        <v>24</v>
      </c>
      <c r="B3" s="2" t="s">
        <v>41</v>
      </c>
      <c r="C3" s="2" t="s">
        <v>214</v>
      </c>
      <c r="D3" s="2" t="s">
        <v>2707</v>
      </c>
      <c r="E3" s="2" t="s">
        <v>26</v>
      </c>
      <c r="F3" s="2">
        <v>2</v>
      </c>
      <c r="G3" s="2">
        <v>2</v>
      </c>
      <c r="H3" s="2">
        <v>2</v>
      </c>
      <c r="I3" s="2">
        <v>1</v>
      </c>
      <c r="J3" s="2">
        <v>2</v>
      </c>
      <c r="K3" s="2">
        <f t="shared" si="0"/>
        <v>9</v>
      </c>
      <c r="L3" s="2" t="s">
        <v>25</v>
      </c>
      <c r="M3" s="2" t="s">
        <v>1570</v>
      </c>
      <c r="N3" s="2" t="s">
        <v>2705</v>
      </c>
      <c r="O3" s="2" t="s">
        <v>2708</v>
      </c>
      <c r="P3" s="2" t="s">
        <v>219</v>
      </c>
    </row>
    <row r="4">
      <c r="A4" s="2">
        <v>57</v>
      </c>
      <c r="B4" s="2" t="s">
        <v>41</v>
      </c>
      <c r="C4" s="2" t="s">
        <v>394</v>
      </c>
      <c r="D4" s="2" t="s">
        <v>2704</v>
      </c>
      <c r="E4" s="2" t="s">
        <v>26</v>
      </c>
      <c r="F4" s="2">
        <v>2</v>
      </c>
      <c r="G4" s="2">
        <v>2</v>
      </c>
      <c r="H4" s="2">
        <v>2</v>
      </c>
      <c r="I4" s="2">
        <v>1</v>
      </c>
      <c r="J4" s="2">
        <v>2</v>
      </c>
      <c r="K4" s="2">
        <f t="shared" si="0"/>
        <v>9</v>
      </c>
      <c r="L4" s="2" t="s">
        <v>25</v>
      </c>
      <c r="M4" s="2" t="s">
        <v>1570</v>
      </c>
      <c r="N4" s="2" t="s">
        <v>2705</v>
      </c>
      <c r="O4" s="2" t="s">
        <v>2709</v>
      </c>
      <c r="P4" s="2" t="s">
        <v>398</v>
      </c>
    </row>
    <row r="5">
      <c r="A5" s="2">
        <v>8</v>
      </c>
      <c r="B5" s="2" t="s">
        <v>41</v>
      </c>
      <c r="C5" s="2" t="s">
        <v>103</v>
      </c>
      <c r="D5" s="2" t="s">
        <v>2704</v>
      </c>
      <c r="E5" s="2" t="s">
        <v>26</v>
      </c>
      <c r="F5" s="2">
        <v>2</v>
      </c>
      <c r="G5" s="2">
        <v>2</v>
      </c>
      <c r="H5" s="2">
        <v>2</v>
      </c>
      <c r="I5" s="2">
        <v>1</v>
      </c>
      <c r="J5" s="2">
        <v>2</v>
      </c>
      <c r="K5" s="2">
        <f t="shared" si="0"/>
        <v>9</v>
      </c>
      <c r="L5" s="2" t="s">
        <v>25</v>
      </c>
      <c r="M5" s="2" t="s">
        <v>1570</v>
      </c>
      <c r="N5" s="2" t="s">
        <v>2705</v>
      </c>
      <c r="O5" s="2" t="s">
        <v>2710</v>
      </c>
      <c r="P5" s="2" t="s">
        <v>108</v>
      </c>
    </row>
    <row r="6">
      <c r="A6" s="2">
        <v>66</v>
      </c>
      <c r="B6" s="2" t="s">
        <v>192</v>
      </c>
      <c r="C6" s="2" t="s">
        <v>439</v>
      </c>
      <c r="D6" s="2" t="s">
        <v>2704</v>
      </c>
      <c r="E6" s="2" t="s">
        <v>26</v>
      </c>
      <c r="F6" s="2">
        <v>2</v>
      </c>
      <c r="G6" s="2">
        <v>2</v>
      </c>
      <c r="H6" s="2">
        <v>2</v>
      </c>
      <c r="I6" s="2">
        <v>2</v>
      </c>
      <c r="J6" s="2">
        <v>1</v>
      </c>
      <c r="K6" s="2">
        <f t="shared" si="0"/>
        <v>9</v>
      </c>
      <c r="L6" s="2" t="s">
        <v>25</v>
      </c>
      <c r="M6" s="2" t="s">
        <v>1570</v>
      </c>
      <c r="N6" s="2" t="s">
        <v>2705</v>
      </c>
      <c r="O6" s="2" t="s">
        <v>2711</v>
      </c>
      <c r="P6" s="2" t="s">
        <v>442</v>
      </c>
    </row>
    <row r="7">
      <c r="A7" s="2">
        <v>28</v>
      </c>
      <c r="B7" s="2" t="s">
        <v>239</v>
      </c>
      <c r="C7" s="2" t="s">
        <v>240</v>
      </c>
      <c r="D7" s="2" t="s">
        <v>2704</v>
      </c>
      <c r="E7" s="2" t="s">
        <v>26</v>
      </c>
      <c r="F7" s="2">
        <v>2</v>
      </c>
      <c r="G7" s="2">
        <v>2</v>
      </c>
      <c r="H7" s="2">
        <v>2</v>
      </c>
      <c r="I7" s="2">
        <v>1</v>
      </c>
      <c r="J7" s="2">
        <v>2</v>
      </c>
      <c r="K7" s="2">
        <f t="shared" si="0"/>
        <v>9</v>
      </c>
      <c r="L7" s="2" t="s">
        <v>25</v>
      </c>
      <c r="M7" s="2" t="s">
        <v>1570</v>
      </c>
      <c r="N7" s="2" t="s">
        <v>2705</v>
      </c>
      <c r="O7" s="2" t="s">
        <v>2712</v>
      </c>
      <c r="P7" s="2" t="s">
        <v>246</v>
      </c>
    </row>
    <row r="8">
      <c r="A8" s="2">
        <v>52</v>
      </c>
      <c r="B8" s="2" t="s">
        <v>192</v>
      </c>
      <c r="C8" s="2" t="s">
        <v>365</v>
      </c>
      <c r="D8" s="2" t="s">
        <v>2704</v>
      </c>
      <c r="E8" s="2" t="s">
        <v>26</v>
      </c>
      <c r="F8" s="2">
        <v>2</v>
      </c>
      <c r="G8" s="2">
        <v>2</v>
      </c>
      <c r="H8" s="2">
        <v>2</v>
      </c>
      <c r="I8" s="2">
        <v>2</v>
      </c>
      <c r="J8" s="2">
        <v>1</v>
      </c>
      <c r="K8" s="2">
        <f t="shared" si="0"/>
        <v>9</v>
      </c>
      <c r="L8" s="2" t="s">
        <v>25</v>
      </c>
      <c r="M8" s="2" t="s">
        <v>1570</v>
      </c>
      <c r="N8" s="2" t="s">
        <v>2705</v>
      </c>
      <c r="O8" s="2" t="s">
        <v>2713</v>
      </c>
      <c r="P8" s="2" t="s">
        <v>368</v>
      </c>
    </row>
    <row r="9">
      <c r="A9" s="2">
        <v>48</v>
      </c>
      <c r="B9" s="2" t="s">
        <v>110</v>
      </c>
      <c r="C9" s="2" t="s">
        <v>347</v>
      </c>
      <c r="D9" s="2" t="s">
        <v>2704</v>
      </c>
      <c r="E9" s="2" t="s">
        <v>26</v>
      </c>
      <c r="F9" s="2">
        <v>2</v>
      </c>
      <c r="G9" s="2">
        <v>2</v>
      </c>
      <c r="H9" s="2">
        <v>2</v>
      </c>
      <c r="I9" s="2">
        <v>1</v>
      </c>
      <c r="J9" s="2">
        <v>2</v>
      </c>
      <c r="K9" s="2">
        <f t="shared" si="0"/>
        <v>9</v>
      </c>
      <c r="L9" s="2" t="s">
        <v>25</v>
      </c>
      <c r="M9" s="2" t="s">
        <v>1570</v>
      </c>
      <c r="N9" s="2" t="s">
        <v>2705</v>
      </c>
      <c r="O9" s="2" t="s">
        <v>2714</v>
      </c>
      <c r="P9" s="2" t="s">
        <v>350</v>
      </c>
    </row>
    <row r="10">
      <c r="A10" s="2">
        <v>26</v>
      </c>
      <c r="B10" s="2" t="s">
        <v>82</v>
      </c>
      <c r="C10" s="2" t="s">
        <v>228</v>
      </c>
      <c r="D10" s="2" t="s">
        <v>2704</v>
      </c>
      <c r="E10" s="2" t="s">
        <v>26</v>
      </c>
      <c r="F10" s="2">
        <v>2</v>
      </c>
      <c r="G10" s="2">
        <v>2</v>
      </c>
      <c r="H10" s="2">
        <v>2</v>
      </c>
      <c r="I10" s="2">
        <v>1</v>
      </c>
      <c r="J10" s="2">
        <v>2</v>
      </c>
      <c r="K10" s="2">
        <f t="shared" ref="K10:K73" si="1">SUM(F10:J10)</f>
        <v>9</v>
      </c>
      <c r="L10" s="2" t="s">
        <v>25</v>
      </c>
      <c r="M10" s="2" t="s">
        <v>1570</v>
      </c>
      <c r="N10" s="2" t="s">
        <v>2705</v>
      </c>
      <c r="O10" s="2" t="s">
        <v>2715</v>
      </c>
      <c r="P10" s="2" t="s">
        <v>232</v>
      </c>
    </row>
    <row r="11">
      <c r="A11" s="2">
        <v>35</v>
      </c>
      <c r="B11" s="2" t="s">
        <v>117</v>
      </c>
      <c r="C11" s="2" t="s">
        <v>284</v>
      </c>
      <c r="D11" s="2" t="s">
        <v>2704</v>
      </c>
      <c r="E11" s="2" t="s">
        <v>26</v>
      </c>
      <c r="F11" s="2">
        <v>2</v>
      </c>
      <c r="G11" s="2">
        <v>2</v>
      </c>
      <c r="H11" s="2">
        <v>2</v>
      </c>
      <c r="I11" s="2">
        <v>1</v>
      </c>
      <c r="J11" s="2">
        <v>2</v>
      </c>
      <c r="K11" s="2">
        <f t="shared" si="1"/>
        <v>9</v>
      </c>
      <c r="L11" s="2" t="s">
        <v>25</v>
      </c>
      <c r="M11" s="2" t="s">
        <v>1570</v>
      </c>
      <c r="N11" s="2" t="s">
        <v>2705</v>
      </c>
      <c r="O11" s="2" t="s">
        <v>2716</v>
      </c>
      <c r="P11" s="2" t="s">
        <v>288</v>
      </c>
    </row>
    <row r="12">
      <c r="A12" s="2">
        <v>25</v>
      </c>
      <c r="B12" s="2" t="s">
        <v>221</v>
      </c>
      <c r="C12" s="2" t="s">
        <v>222</v>
      </c>
      <c r="D12" s="2" t="s">
        <v>2704</v>
      </c>
      <c r="E12" s="2" t="s">
        <v>26</v>
      </c>
      <c r="F12" s="2">
        <v>2</v>
      </c>
      <c r="G12" s="2">
        <v>2</v>
      </c>
      <c r="H12" s="2">
        <v>2</v>
      </c>
      <c r="I12" s="2">
        <v>1</v>
      </c>
      <c r="J12" s="2">
        <v>2</v>
      </c>
      <c r="K12" s="2">
        <f t="shared" si="1"/>
        <v>9</v>
      </c>
      <c r="L12" s="2" t="s">
        <v>25</v>
      </c>
      <c r="M12" s="2" t="s">
        <v>1570</v>
      </c>
      <c r="N12" s="2" t="s">
        <v>2705</v>
      </c>
      <c r="O12" s="2" t="s">
        <v>2717</v>
      </c>
      <c r="P12" s="2" t="s">
        <v>226</v>
      </c>
    </row>
    <row r="13">
      <c r="A13" s="2">
        <v>1</v>
      </c>
      <c r="B13" s="2" t="s">
        <v>22</v>
      </c>
      <c r="C13" s="2" t="s">
        <v>23</v>
      </c>
      <c r="D13" s="2" t="s">
        <v>2704</v>
      </c>
      <c r="E13" s="2" t="s">
        <v>26</v>
      </c>
      <c r="F13" s="2">
        <v>2</v>
      </c>
      <c r="G13" s="2">
        <v>2</v>
      </c>
      <c r="H13" s="2">
        <v>2</v>
      </c>
      <c r="I13" s="2">
        <v>2</v>
      </c>
      <c r="J13" s="2">
        <v>1</v>
      </c>
      <c r="K13" s="2">
        <f t="shared" si="1"/>
        <v>9</v>
      </c>
      <c r="L13" s="2" t="s">
        <v>25</v>
      </c>
      <c r="M13" s="2" t="s">
        <v>1570</v>
      </c>
      <c r="N13" s="2" t="s">
        <v>2705</v>
      </c>
      <c r="O13" s="2" t="s">
        <v>2718</v>
      </c>
      <c r="P13" s="2" t="s">
        <v>39</v>
      </c>
    </row>
    <row r="14">
      <c r="A14" s="2">
        <v>215</v>
      </c>
      <c r="B14" s="2" t="s">
        <v>117</v>
      </c>
      <c r="C14" s="2" t="s">
        <v>1248</v>
      </c>
      <c r="D14" s="2" t="s">
        <v>2719</v>
      </c>
      <c r="E14" s="2" t="s">
        <v>26</v>
      </c>
      <c r="F14" s="2">
        <v>2</v>
      </c>
      <c r="G14" s="2">
        <v>2</v>
      </c>
      <c r="H14" s="2">
        <v>2</v>
      </c>
      <c r="I14" s="2">
        <v>1</v>
      </c>
      <c r="J14" s="2">
        <v>2</v>
      </c>
      <c r="K14" s="2">
        <f t="shared" si="1"/>
        <v>9</v>
      </c>
      <c r="L14" s="2" t="s">
        <v>25</v>
      </c>
      <c r="M14" s="2" t="s">
        <v>1570</v>
      </c>
      <c r="N14" s="2" t="s">
        <v>2705</v>
      </c>
      <c r="O14" s="2" t="s">
        <v>2720</v>
      </c>
      <c r="P14" s="2" t="s">
        <v>1252</v>
      </c>
    </row>
    <row r="15">
      <c r="A15" s="2">
        <v>198</v>
      </c>
      <c r="B15" s="2" t="s">
        <v>117</v>
      </c>
      <c r="C15" s="2" t="s">
        <v>1157</v>
      </c>
      <c r="D15" s="2" t="s">
        <v>2719</v>
      </c>
      <c r="E15" s="2" t="s">
        <v>26</v>
      </c>
      <c r="F15" s="2">
        <v>2</v>
      </c>
      <c r="G15" s="2">
        <v>2</v>
      </c>
      <c r="H15" s="2">
        <v>2</v>
      </c>
      <c r="I15" s="2">
        <v>1</v>
      </c>
      <c r="J15" s="2">
        <v>2</v>
      </c>
      <c r="K15" s="2">
        <f t="shared" si="1"/>
        <v>9</v>
      </c>
      <c r="L15" s="2" t="s">
        <v>25</v>
      </c>
      <c r="M15" s="2" t="s">
        <v>1570</v>
      </c>
      <c r="N15" s="2" t="s">
        <v>2705</v>
      </c>
      <c r="O15" s="2" t="s">
        <v>2721</v>
      </c>
      <c r="P15" s="2"/>
    </row>
    <row r="16">
      <c r="A16" s="2">
        <v>246</v>
      </c>
      <c r="B16" s="2" t="s">
        <v>110</v>
      </c>
      <c r="C16" s="2" t="s">
        <v>1411</v>
      </c>
      <c r="D16" s="2" t="s">
        <v>2719</v>
      </c>
      <c r="E16" s="2" t="s">
        <v>26</v>
      </c>
      <c r="F16" s="2">
        <v>2</v>
      </c>
      <c r="G16" s="2">
        <v>2</v>
      </c>
      <c r="H16" s="2">
        <v>2</v>
      </c>
      <c r="I16" s="2">
        <v>1</v>
      </c>
      <c r="J16" s="2">
        <v>2</v>
      </c>
      <c r="K16" s="2">
        <f t="shared" si="1"/>
        <v>9</v>
      </c>
      <c r="L16" s="2" t="s">
        <v>25</v>
      </c>
      <c r="M16" s="2" t="s">
        <v>1570</v>
      </c>
      <c r="N16" s="2" t="s">
        <v>2705</v>
      </c>
      <c r="O16" s="2" t="s">
        <v>2722</v>
      </c>
      <c r="P16" s="2" t="s">
        <v>1415</v>
      </c>
    </row>
    <row r="17">
      <c r="A17" s="2">
        <v>230</v>
      </c>
      <c r="B17" s="2" t="s">
        <v>56</v>
      </c>
      <c r="C17" s="2" t="s">
        <v>1325</v>
      </c>
      <c r="D17" s="2" t="s">
        <v>2719</v>
      </c>
      <c r="E17" s="2" t="s">
        <v>72</v>
      </c>
      <c r="F17" s="2">
        <v>2</v>
      </c>
      <c r="G17" s="2">
        <v>2</v>
      </c>
      <c r="H17" s="2">
        <v>2</v>
      </c>
      <c r="I17" s="2">
        <v>1</v>
      </c>
      <c r="J17" s="2">
        <v>2</v>
      </c>
      <c r="K17" s="2">
        <f t="shared" si="1"/>
        <v>9</v>
      </c>
      <c r="L17" s="2" t="s">
        <v>25</v>
      </c>
      <c r="M17" s="2" t="s">
        <v>1570</v>
      </c>
      <c r="N17" s="2" t="s">
        <v>2705</v>
      </c>
      <c r="O17" s="2" t="s">
        <v>2723</v>
      </c>
      <c r="P17" s="2" t="s">
        <v>1327</v>
      </c>
    </row>
    <row r="18">
      <c r="A18" s="2">
        <v>95</v>
      </c>
      <c r="B18" s="2" t="s">
        <v>41</v>
      </c>
      <c r="C18" s="2" t="s">
        <v>589</v>
      </c>
      <c r="D18" s="2" t="s">
        <v>2724</v>
      </c>
      <c r="E18" s="2" t="s">
        <v>26</v>
      </c>
      <c r="F18" s="2">
        <v>2</v>
      </c>
      <c r="G18" s="2">
        <v>2</v>
      </c>
      <c r="H18" s="2">
        <v>1</v>
      </c>
      <c r="I18" s="2">
        <v>2</v>
      </c>
      <c r="J18" s="2">
        <v>2</v>
      </c>
      <c r="K18" s="2">
        <f t="shared" si="1"/>
        <v>9</v>
      </c>
      <c r="L18" s="2" t="s">
        <v>25</v>
      </c>
      <c r="M18" s="2" t="s">
        <v>1570</v>
      </c>
      <c r="N18" s="2" t="s">
        <v>2705</v>
      </c>
      <c r="O18" s="2" t="s">
        <v>2725</v>
      </c>
      <c r="P18" s="2" t="s">
        <v>594</v>
      </c>
    </row>
    <row r="19">
      <c r="A19" s="2">
        <v>161</v>
      </c>
      <c r="B19" s="2" t="s">
        <v>41</v>
      </c>
      <c r="C19" s="2" t="s">
        <v>941</v>
      </c>
      <c r="D19" s="2" t="s">
        <v>2724</v>
      </c>
      <c r="E19" s="2" t="s">
        <v>26</v>
      </c>
      <c r="F19" s="2">
        <v>2</v>
      </c>
      <c r="G19" s="2">
        <v>2</v>
      </c>
      <c r="H19" s="2">
        <v>1</v>
      </c>
      <c r="I19" s="2">
        <v>2</v>
      </c>
      <c r="J19" s="2">
        <v>2</v>
      </c>
      <c r="K19" s="2">
        <f t="shared" si="1"/>
        <v>9</v>
      </c>
      <c r="L19" s="2" t="s">
        <v>25</v>
      </c>
      <c r="M19" s="2" t="s">
        <v>1570</v>
      </c>
      <c r="N19" s="2" t="s">
        <v>2705</v>
      </c>
      <c r="O19" s="2" t="s">
        <v>2726</v>
      </c>
      <c r="P19" s="2" t="s">
        <v>947</v>
      </c>
    </row>
    <row r="20">
      <c r="A20" s="2">
        <v>147</v>
      </c>
      <c r="B20" s="2" t="s">
        <v>117</v>
      </c>
      <c r="C20" s="2" t="s">
        <v>871</v>
      </c>
      <c r="D20" s="2" t="s">
        <v>2724</v>
      </c>
      <c r="E20" s="2" t="s">
        <v>26</v>
      </c>
      <c r="F20" s="2">
        <v>2</v>
      </c>
      <c r="G20" s="2">
        <v>2</v>
      </c>
      <c r="H20" s="2">
        <v>1</v>
      </c>
      <c r="I20" s="2">
        <v>2</v>
      </c>
      <c r="J20" s="2">
        <v>2</v>
      </c>
      <c r="K20" s="2">
        <f t="shared" si="1"/>
        <v>9</v>
      </c>
      <c r="L20" s="2" t="s">
        <v>25</v>
      </c>
      <c r="M20" s="2" t="s">
        <v>1570</v>
      </c>
      <c r="N20" s="2" t="s">
        <v>2705</v>
      </c>
      <c r="O20" s="2" t="s">
        <v>2727</v>
      </c>
      <c r="P20" s="2" t="s">
        <v>875</v>
      </c>
    </row>
    <row r="21">
      <c r="A21" s="2">
        <v>73</v>
      </c>
      <c r="B21" s="2" t="s">
        <v>476</v>
      </c>
      <c r="C21" s="2" t="s">
        <v>477</v>
      </c>
      <c r="D21" s="2" t="s">
        <v>2704</v>
      </c>
      <c r="E21" s="2" t="s">
        <v>26</v>
      </c>
      <c r="F21" s="2">
        <v>2</v>
      </c>
      <c r="G21" s="2">
        <v>2</v>
      </c>
      <c r="H21" s="2">
        <v>2</v>
      </c>
      <c r="I21" s="2">
        <v>1</v>
      </c>
      <c r="J21" s="2">
        <v>1</v>
      </c>
      <c r="K21" s="2">
        <f t="shared" si="1"/>
        <v>8</v>
      </c>
      <c r="L21" s="2" t="s">
        <v>25</v>
      </c>
      <c r="M21" s="2" t="s">
        <v>1570</v>
      </c>
      <c r="N21" s="2" t="s">
        <v>2705</v>
      </c>
      <c r="O21" s="2" t="s">
        <v>2728</v>
      </c>
      <c r="P21" s="2" t="s">
        <v>480</v>
      </c>
    </row>
    <row r="22">
      <c r="A22" s="2">
        <v>80</v>
      </c>
      <c r="B22" s="2" t="s">
        <v>41</v>
      </c>
      <c r="C22" s="2" t="s">
        <v>509</v>
      </c>
      <c r="D22" s="2" t="s">
        <v>2729</v>
      </c>
      <c r="E22" s="2" t="s">
        <v>72</v>
      </c>
      <c r="F22" s="2">
        <v>2</v>
      </c>
      <c r="G22" s="2">
        <v>1</v>
      </c>
      <c r="H22" s="2">
        <v>2</v>
      </c>
      <c r="I22" s="2">
        <v>1</v>
      </c>
      <c r="J22" s="2">
        <v>2</v>
      </c>
      <c r="K22" s="2">
        <f t="shared" si="1"/>
        <v>8</v>
      </c>
      <c r="L22" s="2" t="s">
        <v>25</v>
      </c>
      <c r="M22" s="2" t="s">
        <v>1570</v>
      </c>
      <c r="N22" s="2" t="s">
        <v>2705</v>
      </c>
      <c r="O22" s="2" t="s">
        <v>2730</v>
      </c>
      <c r="P22" s="2" t="s">
        <v>512</v>
      </c>
    </row>
    <row r="23">
      <c r="A23" s="2">
        <v>41</v>
      </c>
      <c r="B23" s="2" t="s">
        <v>221</v>
      </c>
      <c r="C23" s="2" t="s">
        <v>313</v>
      </c>
      <c r="D23" s="2" t="s">
        <v>2729</v>
      </c>
      <c r="E23" s="2" t="s">
        <v>72</v>
      </c>
      <c r="F23" s="2">
        <v>2</v>
      </c>
      <c r="G23" s="2">
        <v>1</v>
      </c>
      <c r="H23" s="2">
        <v>2</v>
      </c>
      <c r="I23" s="2">
        <v>1</v>
      </c>
      <c r="J23" s="2">
        <v>2</v>
      </c>
      <c r="K23" s="2">
        <f t="shared" si="1"/>
        <v>8</v>
      </c>
      <c r="L23" s="2" t="s">
        <v>25</v>
      </c>
      <c r="M23" s="2" t="s">
        <v>1570</v>
      </c>
      <c r="N23" s="2" t="s">
        <v>2705</v>
      </c>
      <c r="O23" s="2" t="s">
        <v>2731</v>
      </c>
      <c r="P23" s="2" t="s">
        <v>315</v>
      </c>
    </row>
    <row r="24">
      <c r="A24" s="2">
        <v>116</v>
      </c>
      <c r="B24" s="2" t="s">
        <v>82</v>
      </c>
      <c r="C24" s="2" t="s">
        <v>708</v>
      </c>
      <c r="D24" s="2" t="s">
        <v>2724</v>
      </c>
      <c r="E24" s="2" t="s">
        <v>26</v>
      </c>
      <c r="F24" s="2">
        <v>2</v>
      </c>
      <c r="G24" s="2">
        <v>2</v>
      </c>
      <c r="H24" s="2">
        <v>1</v>
      </c>
      <c r="I24" s="2">
        <v>1</v>
      </c>
      <c r="J24" s="2">
        <v>2</v>
      </c>
      <c r="K24" s="2">
        <f t="shared" si="1"/>
        <v>8</v>
      </c>
      <c r="L24" s="2" t="s">
        <v>25</v>
      </c>
      <c r="M24" s="2" t="s">
        <v>1570</v>
      </c>
      <c r="N24" s="2" t="s">
        <v>2705</v>
      </c>
      <c r="O24" s="2" t="s">
        <v>2732</v>
      </c>
      <c r="P24" s="2" t="s">
        <v>712</v>
      </c>
    </row>
    <row r="25">
      <c r="A25" s="2">
        <v>53</v>
      </c>
      <c r="B25" s="2" t="s">
        <v>41</v>
      </c>
      <c r="C25" s="2" t="s">
        <v>370</v>
      </c>
      <c r="D25" s="2" t="s">
        <v>2724</v>
      </c>
      <c r="E25" s="2" t="s">
        <v>26</v>
      </c>
      <c r="F25" s="2">
        <v>2</v>
      </c>
      <c r="G25" s="2">
        <v>2</v>
      </c>
      <c r="H25" s="2">
        <v>1</v>
      </c>
      <c r="I25" s="2">
        <v>1</v>
      </c>
      <c r="J25" s="2">
        <v>2</v>
      </c>
      <c r="K25" s="2">
        <f t="shared" si="1"/>
        <v>8</v>
      </c>
      <c r="L25" s="2" t="s">
        <v>25</v>
      </c>
      <c r="M25" s="2" t="s">
        <v>1570</v>
      </c>
      <c r="N25" s="2" t="s">
        <v>2705</v>
      </c>
      <c r="O25" s="2" t="s">
        <v>2733</v>
      </c>
      <c r="P25" s="2" t="s">
        <v>376</v>
      </c>
    </row>
    <row r="26">
      <c r="A26" s="2">
        <v>102</v>
      </c>
      <c r="B26" s="2" t="s">
        <v>117</v>
      </c>
      <c r="C26" s="2" t="s">
        <v>628</v>
      </c>
      <c r="D26" s="2" t="s">
        <v>2724</v>
      </c>
      <c r="E26" s="2" t="s">
        <v>26</v>
      </c>
      <c r="F26" s="2">
        <v>1</v>
      </c>
      <c r="G26" s="2">
        <v>2</v>
      </c>
      <c r="H26" s="2">
        <v>1</v>
      </c>
      <c r="I26" s="2">
        <v>2</v>
      </c>
      <c r="J26" s="2">
        <v>2</v>
      </c>
      <c r="K26" s="2">
        <f t="shared" si="1"/>
        <v>8</v>
      </c>
      <c r="L26" s="2" t="s">
        <v>25</v>
      </c>
      <c r="M26" s="2" t="s">
        <v>1570</v>
      </c>
      <c r="N26" s="2" t="s">
        <v>2705</v>
      </c>
      <c r="O26" s="2" t="s">
        <v>2734</v>
      </c>
      <c r="P26" s="2" t="s">
        <v>635</v>
      </c>
    </row>
    <row r="27">
      <c r="A27" s="2">
        <v>74</v>
      </c>
      <c r="B27" s="2" t="s">
        <v>82</v>
      </c>
      <c r="C27" s="2" t="s">
        <v>482</v>
      </c>
      <c r="D27" s="2" t="s">
        <v>2724</v>
      </c>
      <c r="E27" s="2" t="s">
        <v>26</v>
      </c>
      <c r="F27" s="2">
        <v>2</v>
      </c>
      <c r="G27" s="2">
        <v>2</v>
      </c>
      <c r="H27" s="2">
        <v>1</v>
      </c>
      <c r="I27" s="2">
        <v>1</v>
      </c>
      <c r="J27" s="2">
        <v>2</v>
      </c>
      <c r="K27" s="2">
        <f t="shared" si="1"/>
        <v>8</v>
      </c>
      <c r="L27" s="2" t="s">
        <v>25</v>
      </c>
      <c r="M27" s="2" t="s">
        <v>1570</v>
      </c>
      <c r="N27" s="2" t="s">
        <v>2705</v>
      </c>
      <c r="O27" s="2" t="s">
        <v>2735</v>
      </c>
      <c r="P27" s="2" t="s">
        <v>485</v>
      </c>
    </row>
    <row r="28">
      <c r="A28" s="2">
        <v>254</v>
      </c>
      <c r="B28" s="2" t="s">
        <v>41</v>
      </c>
      <c r="C28" s="2" t="s">
        <v>1450</v>
      </c>
      <c r="D28" s="2" t="s">
        <v>2719</v>
      </c>
      <c r="E28" s="2" t="s">
        <v>26</v>
      </c>
      <c r="F28" s="2">
        <v>1</v>
      </c>
      <c r="G28" s="2">
        <v>2</v>
      </c>
      <c r="H28" s="2">
        <v>0</v>
      </c>
      <c r="I28" s="2">
        <v>2</v>
      </c>
      <c r="J28" s="2">
        <v>2</v>
      </c>
      <c r="K28" s="2">
        <f t="shared" si="1"/>
        <v>7</v>
      </c>
      <c r="L28" s="2" t="s">
        <v>44</v>
      </c>
      <c r="M28" s="2" t="s">
        <v>1570</v>
      </c>
      <c r="N28" s="2" t="s">
        <v>2705</v>
      </c>
      <c r="O28" s="2" t="s">
        <v>2736</v>
      </c>
      <c r="P28" s="2" t="s">
        <v>1455</v>
      </c>
    </row>
    <row r="29">
      <c r="A29" s="2">
        <v>251</v>
      </c>
      <c r="B29" s="2" t="s">
        <v>117</v>
      </c>
      <c r="C29" s="2" t="s">
        <v>1435</v>
      </c>
      <c r="D29" s="2" t="s">
        <v>2719</v>
      </c>
      <c r="E29" s="2" t="s">
        <v>26</v>
      </c>
      <c r="F29" s="2">
        <v>1</v>
      </c>
      <c r="G29" s="2">
        <v>2</v>
      </c>
      <c r="H29" s="2">
        <v>1</v>
      </c>
      <c r="I29" s="2">
        <v>1</v>
      </c>
      <c r="J29" s="2">
        <v>2</v>
      </c>
      <c r="K29" s="2">
        <f t="shared" si="1"/>
        <v>7</v>
      </c>
      <c r="L29" s="2" t="s">
        <v>44</v>
      </c>
      <c r="M29" s="2" t="s">
        <v>1570</v>
      </c>
      <c r="N29" s="2" t="s">
        <v>2705</v>
      </c>
      <c r="O29" s="2" t="s">
        <v>2737</v>
      </c>
      <c r="P29" s="2" t="s">
        <v>1438</v>
      </c>
    </row>
    <row r="30">
      <c r="A30" s="2">
        <v>247</v>
      </c>
      <c r="B30" s="2" t="s">
        <v>117</v>
      </c>
      <c r="C30" s="2" t="s">
        <v>1417</v>
      </c>
      <c r="D30" s="2" t="s">
        <v>2719</v>
      </c>
      <c r="E30" s="2" t="s">
        <v>26</v>
      </c>
      <c r="F30" s="2">
        <v>0</v>
      </c>
      <c r="G30" s="2">
        <v>2</v>
      </c>
      <c r="H30" s="2">
        <v>2</v>
      </c>
      <c r="I30" s="2">
        <v>0</v>
      </c>
      <c r="J30" s="2">
        <v>2</v>
      </c>
      <c r="K30" s="2">
        <f t="shared" si="1"/>
        <v>6</v>
      </c>
      <c r="L30" s="2" t="s">
        <v>44</v>
      </c>
      <c r="M30" s="2" t="s">
        <v>1570</v>
      </c>
      <c r="N30" s="2" t="s">
        <v>2705</v>
      </c>
      <c r="O30" s="2" t="s">
        <v>2738</v>
      </c>
      <c r="P30" s="2" t="s">
        <v>1419</v>
      </c>
    </row>
    <row r="31">
      <c r="A31" s="2">
        <v>175</v>
      </c>
      <c r="B31" s="2" t="s">
        <v>117</v>
      </c>
      <c r="C31" s="2" t="s">
        <v>1028</v>
      </c>
      <c r="D31" s="2" t="s">
        <v>2719</v>
      </c>
      <c r="E31" s="2" t="s">
        <v>26</v>
      </c>
      <c r="F31" s="2">
        <v>1</v>
      </c>
      <c r="G31" s="2">
        <v>2</v>
      </c>
      <c r="H31" s="2">
        <v>1</v>
      </c>
      <c r="I31" s="2">
        <v>0</v>
      </c>
      <c r="J31" s="2">
        <v>2</v>
      </c>
      <c r="K31" s="2">
        <f t="shared" si="1"/>
        <v>6</v>
      </c>
      <c r="L31" s="2" t="s">
        <v>44</v>
      </c>
      <c r="M31" s="2" t="s">
        <v>1570</v>
      </c>
      <c r="N31" s="2" t="s">
        <v>2705</v>
      </c>
      <c r="O31" s="2" t="s">
        <v>2739</v>
      </c>
      <c r="P31" s="2" t="s">
        <v>1031</v>
      </c>
    </row>
    <row r="32">
      <c r="A32" s="2">
        <v>177</v>
      </c>
      <c r="B32" s="2" t="s">
        <v>117</v>
      </c>
      <c r="C32" s="2" t="s">
        <v>1039</v>
      </c>
      <c r="D32" s="2" t="s">
        <v>2719</v>
      </c>
      <c r="E32" s="2" t="s">
        <v>26</v>
      </c>
      <c r="F32" s="2">
        <v>1</v>
      </c>
      <c r="G32" s="2">
        <v>2</v>
      </c>
      <c r="H32" s="2">
        <v>0</v>
      </c>
      <c r="I32" s="2">
        <v>1</v>
      </c>
      <c r="J32" s="2">
        <v>1</v>
      </c>
      <c r="K32" s="2">
        <f t="shared" si="1"/>
        <v>5</v>
      </c>
      <c r="L32" s="2" t="s">
        <v>44</v>
      </c>
      <c r="M32" s="2" t="s">
        <v>1570</v>
      </c>
      <c r="N32" s="2" t="s">
        <v>2705</v>
      </c>
      <c r="O32" s="2" t="s">
        <v>2740</v>
      </c>
      <c r="P32" s="2" t="s">
        <v>1043</v>
      </c>
    </row>
    <row r="33">
      <c r="A33" s="2">
        <v>255</v>
      </c>
      <c r="B33" s="2" t="s">
        <v>117</v>
      </c>
      <c r="C33" s="2" t="s">
        <v>1457</v>
      </c>
      <c r="D33" s="2" t="s">
        <v>2719</v>
      </c>
      <c r="E33" s="2" t="s">
        <v>72</v>
      </c>
      <c r="F33" s="2">
        <v>0</v>
      </c>
      <c r="G33" s="2">
        <v>2</v>
      </c>
      <c r="H33" s="2">
        <v>0</v>
      </c>
      <c r="I33" s="2">
        <v>0</v>
      </c>
      <c r="J33" s="2">
        <v>2</v>
      </c>
      <c r="K33" s="2">
        <f t="shared" si="1"/>
        <v>4</v>
      </c>
      <c r="L33" s="2" t="s">
        <v>44</v>
      </c>
      <c r="M33" s="2" t="s">
        <v>1570</v>
      </c>
      <c r="N33" s="2" t="s">
        <v>2705</v>
      </c>
      <c r="O33" s="2" t="s">
        <v>2741</v>
      </c>
      <c r="P33" s="2" t="s">
        <v>1459</v>
      </c>
    </row>
    <row r="34">
      <c r="A34" s="2">
        <v>46</v>
      </c>
      <c r="B34" s="2" t="s">
        <v>239</v>
      </c>
      <c r="C34" s="2" t="s">
        <v>336</v>
      </c>
      <c r="D34" s="2" t="s">
        <v>2704</v>
      </c>
      <c r="E34" s="2" t="s">
        <v>26</v>
      </c>
      <c r="F34" s="2">
        <v>2</v>
      </c>
      <c r="G34" s="2">
        <v>2</v>
      </c>
      <c r="H34" s="2">
        <v>2</v>
      </c>
      <c r="I34" s="2">
        <v>2</v>
      </c>
      <c r="J34" s="2">
        <v>2</v>
      </c>
      <c r="K34" s="2">
        <f t="shared" si="1"/>
        <v>10</v>
      </c>
      <c r="L34" s="2" t="s">
        <v>25</v>
      </c>
      <c r="M34" s="2" t="s">
        <v>1571</v>
      </c>
      <c r="N34" s="2" t="s">
        <v>2742</v>
      </c>
      <c r="O34" s="2" t="s">
        <v>2743</v>
      </c>
      <c r="P34" s="2" t="s">
        <v>340</v>
      </c>
    </row>
    <row r="35">
      <c r="A35" s="2">
        <v>75</v>
      </c>
      <c r="B35" s="2" t="s">
        <v>82</v>
      </c>
      <c r="C35" s="2" t="s">
        <v>487</v>
      </c>
      <c r="D35" s="2" t="s">
        <v>2704</v>
      </c>
      <c r="E35" s="2" t="s">
        <v>26</v>
      </c>
      <c r="F35" s="2">
        <v>2</v>
      </c>
      <c r="G35" s="2">
        <v>2</v>
      </c>
      <c r="H35" s="2">
        <v>2</v>
      </c>
      <c r="I35" s="2">
        <v>1</v>
      </c>
      <c r="J35" s="2">
        <v>2</v>
      </c>
      <c r="K35" s="2">
        <f t="shared" si="1"/>
        <v>9</v>
      </c>
      <c r="L35" s="2" t="s">
        <v>25</v>
      </c>
      <c r="M35" s="2" t="s">
        <v>1571</v>
      </c>
      <c r="N35" s="2" t="s">
        <v>2742</v>
      </c>
      <c r="O35" s="2" t="s">
        <v>2743</v>
      </c>
      <c r="P35" s="2" t="s">
        <v>491</v>
      </c>
    </row>
    <row r="36">
      <c r="A36" s="2">
        <v>68</v>
      </c>
      <c r="B36" s="2" t="s">
        <v>41</v>
      </c>
      <c r="C36" s="2" t="s">
        <v>451</v>
      </c>
      <c r="D36" s="2" t="s">
        <v>2704</v>
      </c>
      <c r="E36" s="2" t="s">
        <v>26</v>
      </c>
      <c r="F36" s="2">
        <v>2</v>
      </c>
      <c r="G36" s="2">
        <v>2</v>
      </c>
      <c r="H36" s="2">
        <v>2</v>
      </c>
      <c r="I36" s="2">
        <v>1</v>
      </c>
      <c r="J36" s="2">
        <v>2</v>
      </c>
      <c r="K36" s="2">
        <f t="shared" si="1"/>
        <v>9</v>
      </c>
      <c r="L36" s="2" t="s">
        <v>25</v>
      </c>
      <c r="M36" s="2" t="s">
        <v>1571</v>
      </c>
      <c r="N36" s="2" t="s">
        <v>2742</v>
      </c>
      <c r="O36" s="2" t="s">
        <v>2743</v>
      </c>
      <c r="P36" s="2" t="s">
        <v>455</v>
      </c>
    </row>
    <row r="37">
      <c r="A37" s="2">
        <v>60</v>
      </c>
      <c r="B37" s="2" t="s">
        <v>41</v>
      </c>
      <c r="C37" s="2" t="s">
        <v>412</v>
      </c>
      <c r="D37" s="2" t="s">
        <v>2704</v>
      </c>
      <c r="E37" s="2" t="s">
        <v>26</v>
      </c>
      <c r="F37" s="2">
        <v>2</v>
      </c>
      <c r="G37" s="2">
        <v>2</v>
      </c>
      <c r="H37" s="2">
        <v>2</v>
      </c>
      <c r="I37" s="2">
        <v>1</v>
      </c>
      <c r="J37" s="2">
        <v>2</v>
      </c>
      <c r="K37" s="2">
        <f t="shared" si="1"/>
        <v>9</v>
      </c>
      <c r="L37" s="2" t="s">
        <v>25</v>
      </c>
      <c r="M37" s="2" t="s">
        <v>1571</v>
      </c>
      <c r="N37" s="2" t="s">
        <v>2742</v>
      </c>
      <c r="O37" s="2" t="s">
        <v>2743</v>
      </c>
      <c r="P37" s="2" t="s">
        <v>415</v>
      </c>
    </row>
    <row r="38">
      <c r="A38" s="2">
        <v>79</v>
      </c>
      <c r="B38" s="2" t="s">
        <v>82</v>
      </c>
      <c r="C38" s="2" t="s">
        <v>505</v>
      </c>
      <c r="D38" s="2" t="s">
        <v>2704</v>
      </c>
      <c r="E38" s="2" t="s">
        <v>26</v>
      </c>
      <c r="F38" s="2">
        <v>2</v>
      </c>
      <c r="G38" s="2">
        <v>2</v>
      </c>
      <c r="H38" s="2">
        <v>2</v>
      </c>
      <c r="I38" s="2">
        <v>1</v>
      </c>
      <c r="J38" s="2">
        <v>2</v>
      </c>
      <c r="K38" s="2">
        <f t="shared" si="1"/>
        <v>9</v>
      </c>
      <c r="L38" s="2" t="s">
        <v>25</v>
      </c>
      <c r="M38" s="2" t="s">
        <v>1571</v>
      </c>
      <c r="N38" s="2" t="s">
        <v>2742</v>
      </c>
      <c r="O38" s="2" t="s">
        <v>2743</v>
      </c>
      <c r="P38" s="2" t="s">
        <v>507</v>
      </c>
    </row>
    <row r="39">
      <c r="A39" s="2">
        <v>63</v>
      </c>
      <c r="B39" s="2" t="s">
        <v>22</v>
      </c>
      <c r="C39" s="2" t="s">
        <v>425</v>
      </c>
      <c r="D39" s="2" t="s">
        <v>2704</v>
      </c>
      <c r="E39" s="2" t="s">
        <v>26</v>
      </c>
      <c r="F39" s="2">
        <v>2</v>
      </c>
      <c r="G39" s="2">
        <v>2</v>
      </c>
      <c r="H39" s="2">
        <v>2</v>
      </c>
      <c r="I39" s="2">
        <v>2</v>
      </c>
      <c r="J39" s="2">
        <v>1</v>
      </c>
      <c r="K39" s="2">
        <f t="shared" si="1"/>
        <v>9</v>
      </c>
      <c r="L39" s="2" t="s">
        <v>25</v>
      </c>
      <c r="M39" s="2" t="s">
        <v>1571</v>
      </c>
      <c r="N39" s="2" t="s">
        <v>2742</v>
      </c>
      <c r="O39" s="2" t="s">
        <v>2743</v>
      </c>
      <c r="P39" s="2" t="s">
        <v>427</v>
      </c>
    </row>
    <row r="40">
      <c r="A40" s="2">
        <v>83</v>
      </c>
      <c r="B40" s="2" t="s">
        <v>117</v>
      </c>
      <c r="C40" s="2" t="s">
        <v>522</v>
      </c>
      <c r="D40" s="2" t="s">
        <v>2704</v>
      </c>
      <c r="E40" s="2" t="s">
        <v>26</v>
      </c>
      <c r="F40" s="2">
        <v>2</v>
      </c>
      <c r="G40" s="2">
        <v>2</v>
      </c>
      <c r="H40" s="2">
        <v>2</v>
      </c>
      <c r="I40" s="2">
        <v>1</v>
      </c>
      <c r="J40" s="2">
        <v>2</v>
      </c>
      <c r="K40" s="2">
        <f t="shared" si="1"/>
        <v>9</v>
      </c>
      <c r="L40" s="2" t="s">
        <v>25</v>
      </c>
      <c r="M40" s="2" t="s">
        <v>1571</v>
      </c>
      <c r="N40" s="2" t="s">
        <v>2742</v>
      </c>
      <c r="O40" s="2" t="s">
        <v>2743</v>
      </c>
      <c r="P40" s="2" t="s">
        <v>524</v>
      </c>
    </row>
    <row r="41">
      <c r="A41" s="2">
        <v>49</v>
      </c>
      <c r="B41" s="2" t="s">
        <v>41</v>
      </c>
      <c r="C41" s="2" t="s">
        <v>352</v>
      </c>
      <c r="D41" s="2" t="s">
        <v>2704</v>
      </c>
      <c r="E41" s="2" t="s">
        <v>26</v>
      </c>
      <c r="F41" s="2">
        <v>2</v>
      </c>
      <c r="G41" s="2">
        <v>2</v>
      </c>
      <c r="H41" s="2">
        <v>2</v>
      </c>
      <c r="I41" s="2">
        <v>1</v>
      </c>
      <c r="J41" s="2">
        <v>2</v>
      </c>
      <c r="K41" s="2">
        <f t="shared" si="1"/>
        <v>9</v>
      </c>
      <c r="L41" s="2" t="s">
        <v>25</v>
      </c>
      <c r="M41" s="2" t="s">
        <v>1571</v>
      </c>
      <c r="N41" s="2" t="s">
        <v>2742</v>
      </c>
      <c r="O41" s="2" t="s">
        <v>2743</v>
      </c>
      <c r="P41" s="2" t="s">
        <v>355</v>
      </c>
    </row>
    <row r="42">
      <c r="A42" s="2">
        <v>44</v>
      </c>
      <c r="B42" s="2" t="s">
        <v>221</v>
      </c>
      <c r="C42" s="2" t="s">
        <v>327</v>
      </c>
      <c r="D42" s="2" t="s">
        <v>2704</v>
      </c>
      <c r="E42" s="2" t="s">
        <v>26</v>
      </c>
      <c r="F42" s="2">
        <v>2</v>
      </c>
      <c r="G42" s="2">
        <v>2</v>
      </c>
      <c r="H42" s="2">
        <v>2</v>
      </c>
      <c r="I42" s="2">
        <v>2</v>
      </c>
      <c r="J42" s="2">
        <v>1</v>
      </c>
      <c r="K42" s="2">
        <f t="shared" si="1"/>
        <v>9</v>
      </c>
      <c r="L42" s="2" t="s">
        <v>25</v>
      </c>
      <c r="M42" s="2" t="s">
        <v>1571</v>
      </c>
      <c r="N42" s="2" t="s">
        <v>2742</v>
      </c>
      <c r="O42" s="2" t="s">
        <v>2743</v>
      </c>
      <c r="P42" s="2" t="s">
        <v>329</v>
      </c>
    </row>
    <row r="43">
      <c r="A43" s="2">
        <v>14</v>
      </c>
      <c r="B43" s="2" t="s">
        <v>110</v>
      </c>
      <c r="C43" s="2" t="s">
        <v>146</v>
      </c>
      <c r="D43" s="2" t="s">
        <v>2704</v>
      </c>
      <c r="E43" s="2" t="s">
        <v>26</v>
      </c>
      <c r="F43" s="2">
        <v>2</v>
      </c>
      <c r="G43" s="2">
        <v>2</v>
      </c>
      <c r="H43" s="2">
        <v>2</v>
      </c>
      <c r="I43" s="2">
        <v>1</v>
      </c>
      <c r="J43" s="2">
        <v>2</v>
      </c>
      <c r="K43" s="2">
        <f t="shared" si="1"/>
        <v>9</v>
      </c>
      <c r="L43" s="2" t="s">
        <v>25</v>
      </c>
      <c r="M43" s="2" t="s">
        <v>1571</v>
      </c>
      <c r="N43" s="2" t="s">
        <v>2742</v>
      </c>
      <c r="O43" s="2" t="s">
        <v>2743</v>
      </c>
      <c r="P43" s="2" t="s">
        <v>150</v>
      </c>
    </row>
    <row r="44">
      <c r="A44" s="2">
        <v>15</v>
      </c>
      <c r="B44" s="2" t="s">
        <v>82</v>
      </c>
      <c r="C44" s="2" t="s">
        <v>153</v>
      </c>
      <c r="D44" s="2" t="s">
        <v>2704</v>
      </c>
      <c r="E44" s="2" t="s">
        <v>26</v>
      </c>
      <c r="F44" s="2">
        <v>2</v>
      </c>
      <c r="G44" s="2">
        <v>2</v>
      </c>
      <c r="H44" s="2">
        <v>2</v>
      </c>
      <c r="I44" s="2">
        <v>1</v>
      </c>
      <c r="J44" s="2">
        <v>2</v>
      </c>
      <c r="K44" s="2">
        <f t="shared" si="1"/>
        <v>9</v>
      </c>
      <c r="L44" s="2" t="s">
        <v>25</v>
      </c>
      <c r="M44" s="2" t="s">
        <v>1571</v>
      </c>
      <c r="N44" s="2" t="s">
        <v>2742</v>
      </c>
      <c r="O44" s="2" t="s">
        <v>2743</v>
      </c>
      <c r="P44" s="2" t="s">
        <v>157</v>
      </c>
    </row>
    <row r="45">
      <c r="A45" s="2">
        <v>71</v>
      </c>
      <c r="B45" s="2" t="s">
        <v>41</v>
      </c>
      <c r="C45" s="2" t="s">
        <v>467</v>
      </c>
      <c r="D45" s="2" t="s">
        <v>2729</v>
      </c>
      <c r="E45" s="2" t="s">
        <v>72</v>
      </c>
      <c r="F45" s="2">
        <v>2</v>
      </c>
      <c r="G45" s="2">
        <v>1</v>
      </c>
      <c r="H45" s="2">
        <v>2</v>
      </c>
      <c r="I45" s="2">
        <v>2</v>
      </c>
      <c r="J45" s="2">
        <v>2</v>
      </c>
      <c r="K45" s="2">
        <f t="shared" si="1"/>
        <v>9</v>
      </c>
      <c r="L45" s="2" t="s">
        <v>25</v>
      </c>
      <c r="M45" s="2" t="s">
        <v>1571</v>
      </c>
      <c r="N45" s="2" t="s">
        <v>2742</v>
      </c>
      <c r="O45" s="2" t="s">
        <v>2744</v>
      </c>
      <c r="P45" s="2" t="s">
        <v>470</v>
      </c>
    </row>
    <row r="46">
      <c r="A46" s="2">
        <v>146</v>
      </c>
      <c r="B46" s="2" t="s">
        <v>110</v>
      </c>
      <c r="C46" s="2" t="s">
        <v>868</v>
      </c>
      <c r="D46" s="2" t="s">
        <v>2724</v>
      </c>
      <c r="E46" s="2" t="s">
        <v>26</v>
      </c>
      <c r="F46" s="2">
        <v>2</v>
      </c>
      <c r="G46" s="2">
        <v>2</v>
      </c>
      <c r="H46" s="2">
        <v>1</v>
      </c>
      <c r="I46" s="2">
        <v>2</v>
      </c>
      <c r="J46" s="2">
        <v>2</v>
      </c>
      <c r="K46" s="2">
        <f t="shared" si="1"/>
        <v>9</v>
      </c>
      <c r="L46" s="2" t="s">
        <v>25</v>
      </c>
      <c r="M46" s="2" t="s">
        <v>1571</v>
      </c>
      <c r="N46" s="2" t="s">
        <v>2742</v>
      </c>
      <c r="O46" s="2" t="s">
        <v>2745</v>
      </c>
      <c r="P46" s="2" t="s">
        <v>869</v>
      </c>
    </row>
    <row r="47">
      <c r="A47" s="2">
        <v>145</v>
      </c>
      <c r="B47" s="2" t="s">
        <v>41</v>
      </c>
      <c r="C47" s="2" t="s">
        <v>863</v>
      </c>
      <c r="D47" s="2" t="s">
        <v>2724</v>
      </c>
      <c r="E47" s="2" t="s">
        <v>26</v>
      </c>
      <c r="F47" s="2">
        <v>2</v>
      </c>
      <c r="G47" s="2">
        <v>2</v>
      </c>
      <c r="H47" s="2">
        <v>1</v>
      </c>
      <c r="I47" s="2">
        <v>2</v>
      </c>
      <c r="J47" s="2">
        <v>2</v>
      </c>
      <c r="K47" s="2">
        <f t="shared" si="1"/>
        <v>9</v>
      </c>
      <c r="L47" s="2" t="s">
        <v>25</v>
      </c>
      <c r="M47" s="2" t="s">
        <v>1571</v>
      </c>
      <c r="N47" s="2" t="s">
        <v>2742</v>
      </c>
      <c r="O47" s="2" t="s">
        <v>2745</v>
      </c>
      <c r="P47" s="2" t="s">
        <v>866</v>
      </c>
    </row>
    <row r="48">
      <c r="A48" s="2">
        <v>124</v>
      </c>
      <c r="B48" s="2" t="s">
        <v>41</v>
      </c>
      <c r="C48" s="2" t="s">
        <v>756</v>
      </c>
      <c r="D48" s="2" t="s">
        <v>2724</v>
      </c>
      <c r="E48" s="2" t="s">
        <v>26</v>
      </c>
      <c r="F48" s="2">
        <v>2</v>
      </c>
      <c r="G48" s="2">
        <v>2</v>
      </c>
      <c r="H48" s="2">
        <v>1</v>
      </c>
      <c r="I48" s="2">
        <v>2</v>
      </c>
      <c r="J48" s="2">
        <v>2</v>
      </c>
      <c r="K48" s="2">
        <f t="shared" si="1"/>
        <v>9</v>
      </c>
      <c r="L48" s="2" t="s">
        <v>25</v>
      </c>
      <c r="M48" s="2" t="s">
        <v>1571</v>
      </c>
      <c r="N48" s="2" t="s">
        <v>2742</v>
      </c>
      <c r="O48" s="2" t="s">
        <v>2745</v>
      </c>
      <c r="P48" s="2" t="s">
        <v>761</v>
      </c>
    </row>
    <row r="49">
      <c r="A49" s="2">
        <v>16</v>
      </c>
      <c r="B49" s="2" t="s">
        <v>82</v>
      </c>
      <c r="C49" s="2" t="s">
        <v>159</v>
      </c>
      <c r="D49" s="2" t="s">
        <v>2724</v>
      </c>
      <c r="E49" s="2" t="s">
        <v>26</v>
      </c>
      <c r="F49" s="2">
        <v>2</v>
      </c>
      <c r="G49" s="2">
        <v>2</v>
      </c>
      <c r="H49" s="2">
        <v>1</v>
      </c>
      <c r="I49" s="2">
        <v>2</v>
      </c>
      <c r="J49" s="2">
        <v>2</v>
      </c>
      <c r="K49" s="2">
        <f t="shared" si="1"/>
        <v>9</v>
      </c>
      <c r="L49" s="2" t="s">
        <v>25</v>
      </c>
      <c r="M49" s="2" t="s">
        <v>1571</v>
      </c>
      <c r="N49" s="2" t="s">
        <v>2742</v>
      </c>
      <c r="O49" s="2" t="s">
        <v>2745</v>
      </c>
      <c r="P49" s="2" t="s">
        <v>166</v>
      </c>
    </row>
    <row r="50">
      <c r="A50" s="2">
        <v>103</v>
      </c>
      <c r="B50" s="2" t="s">
        <v>131</v>
      </c>
      <c r="C50" s="2" t="s">
        <v>637</v>
      </c>
      <c r="D50" s="2" t="s">
        <v>2724</v>
      </c>
      <c r="E50" s="2" t="s">
        <v>26</v>
      </c>
      <c r="F50" s="2">
        <v>2</v>
      </c>
      <c r="G50" s="2">
        <v>2</v>
      </c>
      <c r="H50" s="2">
        <v>1</v>
      </c>
      <c r="I50" s="2">
        <v>2</v>
      </c>
      <c r="J50" s="2">
        <v>2</v>
      </c>
      <c r="K50" s="2">
        <f t="shared" si="1"/>
        <v>9</v>
      </c>
      <c r="L50" s="2" t="s">
        <v>25</v>
      </c>
      <c r="M50" s="2" t="s">
        <v>1571</v>
      </c>
      <c r="N50" s="2" t="s">
        <v>2742</v>
      </c>
      <c r="O50" s="2" t="s">
        <v>2745</v>
      </c>
      <c r="P50" s="2" t="s">
        <v>640</v>
      </c>
    </row>
    <row r="51">
      <c r="A51" s="2">
        <v>55</v>
      </c>
      <c r="B51" s="2" t="s">
        <v>41</v>
      </c>
      <c r="C51" s="2" t="s">
        <v>385</v>
      </c>
      <c r="D51" s="2" t="s">
        <v>2724</v>
      </c>
      <c r="E51" s="2" t="s">
        <v>26</v>
      </c>
      <c r="F51" s="2">
        <v>2</v>
      </c>
      <c r="G51" s="2">
        <v>2</v>
      </c>
      <c r="H51" s="2">
        <v>1</v>
      </c>
      <c r="I51" s="2">
        <v>2</v>
      </c>
      <c r="J51" s="2">
        <v>2</v>
      </c>
      <c r="K51" s="2">
        <f t="shared" si="1"/>
        <v>9</v>
      </c>
      <c r="L51" s="2" t="s">
        <v>25</v>
      </c>
      <c r="M51" s="2" t="s">
        <v>1571</v>
      </c>
      <c r="N51" s="2" t="s">
        <v>2742</v>
      </c>
      <c r="O51" s="2" t="s">
        <v>2745</v>
      </c>
      <c r="P51" s="2" t="s">
        <v>389</v>
      </c>
    </row>
    <row r="52">
      <c r="A52" s="2">
        <v>167</v>
      </c>
      <c r="B52" s="2" t="s">
        <v>41</v>
      </c>
      <c r="C52" s="2" t="s">
        <v>972</v>
      </c>
      <c r="D52" s="2" t="s">
        <v>2724</v>
      </c>
      <c r="E52" s="2" t="s">
        <v>26</v>
      </c>
      <c r="F52" s="2">
        <v>2</v>
      </c>
      <c r="G52" s="2">
        <v>2</v>
      </c>
      <c r="H52" s="2">
        <v>1</v>
      </c>
      <c r="I52" s="2">
        <v>2</v>
      </c>
      <c r="J52" s="2">
        <v>2</v>
      </c>
      <c r="K52" s="2">
        <f t="shared" si="1"/>
        <v>9</v>
      </c>
      <c r="L52" s="2" t="s">
        <v>25</v>
      </c>
      <c r="M52" s="2" t="s">
        <v>1571</v>
      </c>
      <c r="N52" s="2" t="s">
        <v>2742</v>
      </c>
      <c r="O52" s="2" t="s">
        <v>2745</v>
      </c>
      <c r="P52" s="2" t="s">
        <v>977</v>
      </c>
    </row>
    <row r="53">
      <c r="A53" s="2">
        <v>109</v>
      </c>
      <c r="B53" s="2" t="s">
        <v>117</v>
      </c>
      <c r="C53" s="2" t="s">
        <v>669</v>
      </c>
      <c r="D53" s="2" t="s">
        <v>2724</v>
      </c>
      <c r="E53" s="2" t="s">
        <v>26</v>
      </c>
      <c r="F53" s="2">
        <v>2</v>
      </c>
      <c r="G53" s="2">
        <v>2</v>
      </c>
      <c r="H53" s="2">
        <v>1</v>
      </c>
      <c r="I53" s="2">
        <v>2</v>
      </c>
      <c r="J53" s="2">
        <v>2</v>
      </c>
      <c r="K53" s="2">
        <f t="shared" si="1"/>
        <v>9</v>
      </c>
      <c r="L53" s="2" t="s">
        <v>25</v>
      </c>
      <c r="M53" s="2" t="s">
        <v>1571</v>
      </c>
      <c r="N53" s="2" t="s">
        <v>2742</v>
      </c>
      <c r="O53" s="2" t="s">
        <v>2745</v>
      </c>
      <c r="P53" s="2" t="s">
        <v>673</v>
      </c>
    </row>
    <row r="54">
      <c r="A54" s="2">
        <v>22</v>
      </c>
      <c r="B54" s="2" t="s">
        <v>41</v>
      </c>
      <c r="C54" s="2" t="s">
        <v>202</v>
      </c>
      <c r="D54" s="2" t="s">
        <v>2724</v>
      </c>
      <c r="E54" s="2" t="s">
        <v>26</v>
      </c>
      <c r="F54" s="2">
        <v>2</v>
      </c>
      <c r="G54" s="2">
        <v>2</v>
      </c>
      <c r="H54" s="2">
        <v>1</v>
      </c>
      <c r="I54" s="2">
        <v>2</v>
      </c>
      <c r="J54" s="2">
        <v>2</v>
      </c>
      <c r="K54" s="2">
        <f t="shared" si="1"/>
        <v>9</v>
      </c>
      <c r="L54" s="2" t="s">
        <v>25</v>
      </c>
      <c r="M54" s="2" t="s">
        <v>1571</v>
      </c>
      <c r="N54" s="2" t="s">
        <v>2742</v>
      </c>
      <c r="O54" s="2" t="s">
        <v>2745</v>
      </c>
      <c r="P54" s="2" t="s">
        <v>208</v>
      </c>
    </row>
    <row r="55">
      <c r="A55" s="2">
        <v>2</v>
      </c>
      <c r="B55" s="2" t="s">
        <v>41</v>
      </c>
      <c r="C55" s="2" t="s">
        <v>42</v>
      </c>
      <c r="D55" s="2" t="s">
        <v>2724</v>
      </c>
      <c r="E55" s="2" t="s">
        <v>26</v>
      </c>
      <c r="F55" s="2">
        <v>2</v>
      </c>
      <c r="G55" s="2">
        <v>2</v>
      </c>
      <c r="H55" s="2">
        <v>1</v>
      </c>
      <c r="I55" s="2">
        <v>2</v>
      </c>
      <c r="J55" s="2">
        <v>2</v>
      </c>
      <c r="K55" s="2">
        <f t="shared" si="1"/>
        <v>9</v>
      </c>
      <c r="L55" s="2" t="s">
        <v>25</v>
      </c>
      <c r="M55" s="2" t="s">
        <v>1571</v>
      </c>
      <c r="N55" s="2" t="s">
        <v>2742</v>
      </c>
      <c r="O55" s="2" t="s">
        <v>2745</v>
      </c>
      <c r="P55" s="2" t="s">
        <v>54</v>
      </c>
    </row>
    <row r="56">
      <c r="A56" s="2">
        <v>120</v>
      </c>
      <c r="B56" s="2" t="s">
        <v>476</v>
      </c>
      <c r="C56" s="2" t="s">
        <v>733</v>
      </c>
      <c r="D56" s="2" t="s">
        <v>2724</v>
      </c>
      <c r="E56" s="2" t="s">
        <v>26</v>
      </c>
      <c r="F56" s="2">
        <v>2</v>
      </c>
      <c r="G56" s="2">
        <v>2</v>
      </c>
      <c r="H56" s="2">
        <v>1</v>
      </c>
      <c r="I56" s="2">
        <v>2</v>
      </c>
      <c r="J56" s="2">
        <v>2</v>
      </c>
      <c r="K56" s="2">
        <f t="shared" si="1"/>
        <v>9</v>
      </c>
      <c r="L56" s="2" t="s">
        <v>25</v>
      </c>
      <c r="M56" s="2" t="s">
        <v>1571</v>
      </c>
      <c r="N56" s="2" t="s">
        <v>2742</v>
      </c>
      <c r="O56" s="2" t="s">
        <v>2745</v>
      </c>
      <c r="P56" s="2" t="s">
        <v>734</v>
      </c>
    </row>
    <row r="57">
      <c r="A57" s="2">
        <v>144</v>
      </c>
      <c r="B57" s="2" t="s">
        <v>117</v>
      </c>
      <c r="C57" s="2" t="s">
        <v>859</v>
      </c>
      <c r="D57" s="2" t="s">
        <v>2724</v>
      </c>
      <c r="E57" s="2" t="s">
        <v>26</v>
      </c>
      <c r="F57" s="2">
        <v>2</v>
      </c>
      <c r="G57" s="2">
        <v>2</v>
      </c>
      <c r="H57" s="2">
        <v>1</v>
      </c>
      <c r="I57" s="2">
        <v>2</v>
      </c>
      <c r="J57" s="2">
        <v>2</v>
      </c>
      <c r="K57" s="2">
        <f t="shared" si="1"/>
        <v>9</v>
      </c>
      <c r="L57" s="2" t="s">
        <v>25</v>
      </c>
      <c r="M57" s="2" t="s">
        <v>1571</v>
      </c>
      <c r="N57" s="2" t="s">
        <v>2742</v>
      </c>
      <c r="O57" s="2" t="s">
        <v>2745</v>
      </c>
      <c r="P57" s="2" t="s">
        <v>861</v>
      </c>
    </row>
    <row r="58">
      <c r="A58" s="2">
        <v>160</v>
      </c>
      <c r="B58" s="2" t="s">
        <v>192</v>
      </c>
      <c r="C58" s="2" t="s">
        <v>935</v>
      </c>
      <c r="D58" s="2" t="s">
        <v>2724</v>
      </c>
      <c r="E58" s="2" t="s">
        <v>26</v>
      </c>
      <c r="F58" s="2">
        <v>2</v>
      </c>
      <c r="G58" s="2">
        <v>2</v>
      </c>
      <c r="H58" s="2">
        <v>1</v>
      </c>
      <c r="I58" s="2">
        <v>2</v>
      </c>
      <c r="J58" s="2">
        <v>2</v>
      </c>
      <c r="K58" s="2">
        <f t="shared" si="1"/>
        <v>9</v>
      </c>
      <c r="L58" s="2" t="s">
        <v>25</v>
      </c>
      <c r="M58" s="2" t="s">
        <v>1571</v>
      </c>
      <c r="N58" s="2" t="s">
        <v>2742</v>
      </c>
      <c r="O58" s="2" t="s">
        <v>2745</v>
      </c>
      <c r="P58" s="2" t="s">
        <v>939</v>
      </c>
    </row>
    <row r="59">
      <c r="A59" s="2">
        <v>157</v>
      </c>
      <c r="B59" s="2" t="s">
        <v>117</v>
      </c>
      <c r="C59" s="2" t="s">
        <v>922</v>
      </c>
      <c r="D59" s="2" t="s">
        <v>2724</v>
      </c>
      <c r="E59" s="2" t="s">
        <v>26</v>
      </c>
      <c r="F59" s="2">
        <v>2</v>
      </c>
      <c r="G59" s="2">
        <v>2</v>
      </c>
      <c r="H59" s="2">
        <v>1</v>
      </c>
      <c r="I59" s="2">
        <v>2</v>
      </c>
      <c r="J59" s="2">
        <v>2</v>
      </c>
      <c r="K59" s="2">
        <f t="shared" si="1"/>
        <v>9</v>
      </c>
      <c r="L59" s="2" t="s">
        <v>25</v>
      </c>
      <c r="M59" s="2" t="s">
        <v>1571</v>
      </c>
      <c r="N59" s="2" t="s">
        <v>2742</v>
      </c>
      <c r="O59" s="2" t="s">
        <v>2745</v>
      </c>
      <c r="P59" s="2" t="s">
        <v>924</v>
      </c>
    </row>
    <row r="60">
      <c r="A60" s="2">
        <v>96</v>
      </c>
      <c r="B60" s="2" t="s">
        <v>22</v>
      </c>
      <c r="C60" s="2" t="s">
        <v>596</v>
      </c>
      <c r="D60" s="2" t="s">
        <v>2724</v>
      </c>
      <c r="E60" s="2" t="s">
        <v>26</v>
      </c>
      <c r="F60" s="2">
        <v>2</v>
      </c>
      <c r="G60" s="2">
        <v>2</v>
      </c>
      <c r="H60" s="2">
        <v>1</v>
      </c>
      <c r="I60" s="2">
        <v>2</v>
      </c>
      <c r="J60" s="2">
        <v>2</v>
      </c>
      <c r="K60" s="2">
        <f t="shared" si="1"/>
        <v>9</v>
      </c>
      <c r="L60" s="2" t="s">
        <v>25</v>
      </c>
      <c r="M60" s="2" t="s">
        <v>1571</v>
      </c>
      <c r="N60" s="2" t="s">
        <v>2742</v>
      </c>
      <c r="O60" s="2" t="s">
        <v>2745</v>
      </c>
      <c r="P60" s="2" t="s">
        <v>599</v>
      </c>
    </row>
    <row r="61">
      <c r="A61" s="2">
        <v>98</v>
      </c>
      <c r="B61" s="2" t="s">
        <v>604</v>
      </c>
      <c r="C61" s="2" t="s">
        <v>605</v>
      </c>
      <c r="D61" s="2" t="s">
        <v>2724</v>
      </c>
      <c r="E61" s="2" t="s">
        <v>26</v>
      </c>
      <c r="F61" s="2">
        <v>2</v>
      </c>
      <c r="G61" s="2">
        <v>2</v>
      </c>
      <c r="H61" s="2">
        <v>1</v>
      </c>
      <c r="I61" s="2">
        <v>2</v>
      </c>
      <c r="J61" s="2">
        <v>2</v>
      </c>
      <c r="K61" s="2">
        <f t="shared" si="1"/>
        <v>9</v>
      </c>
      <c r="L61" s="2" t="s">
        <v>25</v>
      </c>
      <c r="M61" s="2" t="s">
        <v>1571</v>
      </c>
      <c r="N61" s="2" t="s">
        <v>2742</v>
      </c>
      <c r="O61" s="2" t="s">
        <v>2745</v>
      </c>
      <c r="P61" s="2" t="s">
        <v>608</v>
      </c>
    </row>
    <row r="62">
      <c r="A62" s="2">
        <v>92</v>
      </c>
      <c r="B62" s="2" t="s">
        <v>570</v>
      </c>
      <c r="C62" s="2" t="s">
        <v>571</v>
      </c>
      <c r="D62" s="2" t="s">
        <v>2724</v>
      </c>
      <c r="E62" s="2" t="s">
        <v>26</v>
      </c>
      <c r="F62" s="2">
        <v>2</v>
      </c>
      <c r="G62" s="2">
        <v>2</v>
      </c>
      <c r="H62" s="2">
        <v>1</v>
      </c>
      <c r="I62" s="2">
        <v>2</v>
      </c>
      <c r="J62" s="2">
        <v>2</v>
      </c>
      <c r="K62" s="2">
        <f t="shared" si="1"/>
        <v>9</v>
      </c>
      <c r="L62" s="2" t="s">
        <v>25</v>
      </c>
      <c r="M62" s="2" t="s">
        <v>1571</v>
      </c>
      <c r="N62" s="2" t="s">
        <v>2742</v>
      </c>
      <c r="O62" s="2" t="s">
        <v>2745</v>
      </c>
      <c r="P62" s="2" t="s">
        <v>577</v>
      </c>
    </row>
    <row r="63">
      <c r="A63" s="2">
        <v>91</v>
      </c>
      <c r="B63" s="2" t="s">
        <v>117</v>
      </c>
      <c r="C63" s="2" t="s">
        <v>564</v>
      </c>
      <c r="D63" s="2" t="s">
        <v>2704</v>
      </c>
      <c r="E63" s="2" t="s">
        <v>26</v>
      </c>
      <c r="F63" s="2">
        <v>2</v>
      </c>
      <c r="G63" s="2">
        <v>2</v>
      </c>
      <c r="H63" s="2">
        <v>2</v>
      </c>
      <c r="I63" s="2">
        <v>0</v>
      </c>
      <c r="J63" s="2">
        <v>2</v>
      </c>
      <c r="K63" s="2">
        <f t="shared" si="1"/>
        <v>8</v>
      </c>
      <c r="L63" s="2" t="s">
        <v>25</v>
      </c>
      <c r="M63" s="2" t="s">
        <v>1571</v>
      </c>
      <c r="N63" s="2" t="s">
        <v>2742</v>
      </c>
      <c r="O63" s="2" t="s">
        <v>2743</v>
      </c>
      <c r="P63" s="2" t="s">
        <v>568</v>
      </c>
    </row>
    <row r="64">
      <c r="A64" s="2">
        <v>90</v>
      </c>
      <c r="B64" s="2" t="s">
        <v>192</v>
      </c>
      <c r="C64" s="2" t="s">
        <v>559</v>
      </c>
      <c r="D64" s="2" t="s">
        <v>2729</v>
      </c>
      <c r="E64" s="2" t="s">
        <v>72</v>
      </c>
      <c r="F64" s="2">
        <v>2</v>
      </c>
      <c r="G64" s="2">
        <v>1</v>
      </c>
      <c r="H64" s="2">
        <v>2</v>
      </c>
      <c r="I64" s="2">
        <v>1</v>
      </c>
      <c r="J64" s="2">
        <v>2</v>
      </c>
      <c r="K64" s="2">
        <f t="shared" si="1"/>
        <v>8</v>
      </c>
      <c r="L64" s="2" t="s">
        <v>25</v>
      </c>
      <c r="M64" s="2" t="s">
        <v>1571</v>
      </c>
      <c r="N64" s="2" t="s">
        <v>2742</v>
      </c>
      <c r="O64" s="2" t="s">
        <v>2744</v>
      </c>
      <c r="P64" s="2" t="s">
        <v>561</v>
      </c>
    </row>
    <row r="65">
      <c r="A65" s="2">
        <v>76</v>
      </c>
      <c r="B65" s="2" t="s">
        <v>82</v>
      </c>
      <c r="C65" s="2" t="s">
        <v>493</v>
      </c>
      <c r="D65" s="2" t="s">
        <v>2729</v>
      </c>
      <c r="E65" s="2" t="s">
        <v>72</v>
      </c>
      <c r="F65" s="2">
        <v>2</v>
      </c>
      <c r="G65" s="2">
        <v>1</v>
      </c>
      <c r="H65" s="2">
        <v>2</v>
      </c>
      <c r="I65" s="2">
        <v>1</v>
      </c>
      <c r="J65" s="2">
        <v>2</v>
      </c>
      <c r="K65" s="2">
        <f t="shared" si="1"/>
        <v>8</v>
      </c>
      <c r="L65" s="2" t="s">
        <v>25</v>
      </c>
      <c r="M65" s="2" t="s">
        <v>1571</v>
      </c>
      <c r="N65" s="2" t="s">
        <v>2742</v>
      </c>
      <c r="O65" s="2" t="s">
        <v>2744</v>
      </c>
      <c r="P65" s="2" t="s">
        <v>495</v>
      </c>
    </row>
    <row r="66">
      <c r="A66" s="2">
        <v>47</v>
      </c>
      <c r="B66" s="2" t="s">
        <v>56</v>
      </c>
      <c r="C66" s="2" t="s">
        <v>342</v>
      </c>
      <c r="D66" s="2" t="s">
        <v>2729</v>
      </c>
      <c r="E66" s="2" t="s">
        <v>72</v>
      </c>
      <c r="F66" s="2">
        <v>2</v>
      </c>
      <c r="G66" s="2">
        <v>1</v>
      </c>
      <c r="H66" s="2">
        <v>2</v>
      </c>
      <c r="I66" s="2">
        <v>1</v>
      </c>
      <c r="J66" s="2">
        <v>2</v>
      </c>
      <c r="K66" s="2">
        <f t="shared" si="1"/>
        <v>8</v>
      </c>
      <c r="L66" s="2" t="s">
        <v>25</v>
      </c>
      <c r="M66" s="2" t="s">
        <v>1571</v>
      </c>
      <c r="N66" s="2" t="s">
        <v>2742</v>
      </c>
      <c r="O66" s="2" t="s">
        <v>2744</v>
      </c>
      <c r="P66" s="2" t="s">
        <v>345</v>
      </c>
    </row>
    <row r="67">
      <c r="A67" s="2">
        <v>18</v>
      </c>
      <c r="B67" s="2" t="s">
        <v>41</v>
      </c>
      <c r="C67" s="2" t="s">
        <v>175</v>
      </c>
      <c r="D67" s="2" t="s">
        <v>2724</v>
      </c>
      <c r="E67" s="2" t="s">
        <v>26</v>
      </c>
      <c r="F67" s="2">
        <v>2</v>
      </c>
      <c r="G67" s="2">
        <v>2</v>
      </c>
      <c r="H67" s="2">
        <v>1</v>
      </c>
      <c r="I67" s="2">
        <v>2</v>
      </c>
      <c r="J67" s="2">
        <v>1</v>
      </c>
      <c r="K67" s="2">
        <f t="shared" si="1"/>
        <v>8</v>
      </c>
      <c r="L67" s="2" t="s">
        <v>25</v>
      </c>
      <c r="M67" s="2" t="s">
        <v>1571</v>
      </c>
      <c r="N67" s="2" t="s">
        <v>2742</v>
      </c>
      <c r="O67" s="2" t="s">
        <v>2745</v>
      </c>
      <c r="P67" s="2" t="s">
        <v>183</v>
      </c>
    </row>
    <row r="68">
      <c r="A68" s="2">
        <v>152</v>
      </c>
      <c r="B68" s="2" t="s">
        <v>56</v>
      </c>
      <c r="C68" s="2" t="s">
        <v>896</v>
      </c>
      <c r="D68" s="2" t="s">
        <v>2724</v>
      </c>
      <c r="E68" s="2" t="s">
        <v>26</v>
      </c>
      <c r="F68" s="2">
        <v>2</v>
      </c>
      <c r="G68" s="2">
        <v>2</v>
      </c>
      <c r="H68" s="2">
        <v>1</v>
      </c>
      <c r="I68" s="2">
        <v>1</v>
      </c>
      <c r="J68" s="2">
        <v>2</v>
      </c>
      <c r="K68" s="2">
        <f t="shared" si="1"/>
        <v>8</v>
      </c>
      <c r="L68" s="2" t="s">
        <v>25</v>
      </c>
      <c r="M68" s="2" t="s">
        <v>1571</v>
      </c>
      <c r="N68" s="2" t="s">
        <v>2742</v>
      </c>
      <c r="O68" s="2" t="s">
        <v>2745</v>
      </c>
      <c r="P68" s="2" t="s">
        <v>900</v>
      </c>
    </row>
    <row r="69">
      <c r="A69" s="2">
        <v>142</v>
      </c>
      <c r="B69" s="2" t="s">
        <v>117</v>
      </c>
      <c r="C69" s="2" t="s">
        <v>849</v>
      </c>
      <c r="D69" s="2" t="s">
        <v>2724</v>
      </c>
      <c r="E69" s="2" t="s">
        <v>26</v>
      </c>
      <c r="F69" s="2">
        <v>2</v>
      </c>
      <c r="G69" s="2">
        <v>2</v>
      </c>
      <c r="H69" s="2">
        <v>1</v>
      </c>
      <c r="I69" s="2">
        <v>1</v>
      </c>
      <c r="J69" s="2">
        <v>2</v>
      </c>
      <c r="K69" s="2">
        <f t="shared" si="1"/>
        <v>8</v>
      </c>
      <c r="L69" s="2" t="s">
        <v>25</v>
      </c>
      <c r="M69" s="2" t="s">
        <v>1571</v>
      </c>
      <c r="N69" s="2" t="s">
        <v>2742</v>
      </c>
      <c r="O69" s="2" t="s">
        <v>2745</v>
      </c>
      <c r="P69" s="2" t="s">
        <v>852</v>
      </c>
    </row>
    <row r="70">
      <c r="A70" s="2">
        <v>133</v>
      </c>
      <c r="B70" s="2" t="s">
        <v>117</v>
      </c>
      <c r="C70" s="2" t="s">
        <v>802</v>
      </c>
      <c r="D70" s="2" t="s">
        <v>2724</v>
      </c>
      <c r="E70" s="2" t="s">
        <v>26</v>
      </c>
      <c r="F70" s="2">
        <v>2</v>
      </c>
      <c r="G70" s="2">
        <v>2</v>
      </c>
      <c r="H70" s="2">
        <v>1</v>
      </c>
      <c r="I70" s="2">
        <v>1</v>
      </c>
      <c r="J70" s="2">
        <v>2</v>
      </c>
      <c r="K70" s="2">
        <f t="shared" si="1"/>
        <v>8</v>
      </c>
      <c r="L70" s="2" t="s">
        <v>25</v>
      </c>
      <c r="M70" s="2" t="s">
        <v>1571</v>
      </c>
      <c r="N70" s="2" t="s">
        <v>2742</v>
      </c>
      <c r="O70" s="2" t="s">
        <v>2745</v>
      </c>
      <c r="P70" s="2" t="s">
        <v>806</v>
      </c>
    </row>
    <row r="71">
      <c r="A71" s="2">
        <v>101</v>
      </c>
      <c r="B71" s="2" t="s">
        <v>41</v>
      </c>
      <c r="C71" s="2" t="s">
        <v>622</v>
      </c>
      <c r="D71" s="2" t="s">
        <v>2724</v>
      </c>
      <c r="E71" s="2" t="s">
        <v>26</v>
      </c>
      <c r="F71" s="2">
        <v>2</v>
      </c>
      <c r="G71" s="2">
        <v>2</v>
      </c>
      <c r="H71" s="2">
        <v>1</v>
      </c>
      <c r="I71" s="2">
        <v>1</v>
      </c>
      <c r="J71" s="2">
        <v>2</v>
      </c>
      <c r="K71" s="2">
        <f t="shared" si="1"/>
        <v>8</v>
      </c>
      <c r="L71" s="2" t="s">
        <v>25</v>
      </c>
      <c r="M71" s="2" t="s">
        <v>1571</v>
      </c>
      <c r="N71" s="2" t="s">
        <v>2742</v>
      </c>
      <c r="O71" s="2" t="s">
        <v>2745</v>
      </c>
      <c r="P71" s="2" t="s">
        <v>626</v>
      </c>
    </row>
    <row r="72">
      <c r="A72" s="2">
        <v>162</v>
      </c>
      <c r="B72" s="2" t="s">
        <v>117</v>
      </c>
      <c r="C72" s="2" t="s">
        <v>949</v>
      </c>
      <c r="D72" s="2" t="s">
        <v>2724</v>
      </c>
      <c r="E72" s="2" t="s">
        <v>26</v>
      </c>
      <c r="F72" s="2">
        <v>2</v>
      </c>
      <c r="G72" s="2">
        <v>2</v>
      </c>
      <c r="H72" s="2">
        <v>1</v>
      </c>
      <c r="I72" s="2">
        <v>1</v>
      </c>
      <c r="J72" s="2">
        <v>2</v>
      </c>
      <c r="K72" s="2">
        <f t="shared" si="1"/>
        <v>8</v>
      </c>
      <c r="L72" s="2" t="s">
        <v>25</v>
      </c>
      <c r="M72" s="2" t="s">
        <v>1571</v>
      </c>
      <c r="N72" s="2" t="s">
        <v>2742</v>
      </c>
      <c r="O72" s="2" t="s">
        <v>2745</v>
      </c>
      <c r="P72" s="2" t="s">
        <v>951</v>
      </c>
    </row>
    <row r="73">
      <c r="A73" s="2">
        <v>115</v>
      </c>
      <c r="B73" s="2" t="s">
        <v>41</v>
      </c>
      <c r="C73" s="2" t="s">
        <v>702</v>
      </c>
      <c r="D73" s="2" t="s">
        <v>2724</v>
      </c>
      <c r="E73" s="2" t="s">
        <v>26</v>
      </c>
      <c r="F73" s="2">
        <v>2</v>
      </c>
      <c r="G73" s="2">
        <v>2</v>
      </c>
      <c r="H73" s="2">
        <v>1</v>
      </c>
      <c r="I73" s="2">
        <v>1</v>
      </c>
      <c r="J73" s="2">
        <v>2</v>
      </c>
      <c r="K73" s="2">
        <f t="shared" si="1"/>
        <v>8</v>
      </c>
      <c r="L73" s="2" t="s">
        <v>25</v>
      </c>
      <c r="M73" s="2" t="s">
        <v>1571</v>
      </c>
      <c r="N73" s="2" t="s">
        <v>2742</v>
      </c>
      <c r="O73" s="2" t="s">
        <v>2745</v>
      </c>
      <c r="P73" s="2" t="s">
        <v>706</v>
      </c>
    </row>
    <row r="74">
      <c r="A74" s="2">
        <v>150</v>
      </c>
      <c r="B74" s="2" t="s">
        <v>117</v>
      </c>
      <c r="C74" s="2" t="s">
        <v>886</v>
      </c>
      <c r="D74" s="2" t="s">
        <v>2724</v>
      </c>
      <c r="E74" s="2" t="s">
        <v>26</v>
      </c>
      <c r="F74" s="2">
        <v>2</v>
      </c>
      <c r="G74" s="2">
        <v>2</v>
      </c>
      <c r="H74" s="2">
        <v>1</v>
      </c>
      <c r="I74" s="2">
        <v>1</v>
      </c>
      <c r="J74" s="2">
        <v>2</v>
      </c>
      <c r="K74" s="2">
        <f t="shared" ref="K74:K99" si="2">SUM(F74:J74)</f>
        <v>8</v>
      </c>
      <c r="L74" s="2" t="s">
        <v>25</v>
      </c>
      <c r="M74" s="2" t="s">
        <v>1571</v>
      </c>
      <c r="N74" s="2" t="s">
        <v>2742</v>
      </c>
      <c r="O74" s="2" t="s">
        <v>2745</v>
      </c>
      <c r="P74" s="2" t="s">
        <v>890</v>
      </c>
    </row>
    <row r="75">
      <c r="A75" s="2">
        <v>134</v>
      </c>
      <c r="B75" s="2" t="s">
        <v>70</v>
      </c>
      <c r="C75" s="2" t="s">
        <v>808</v>
      </c>
      <c r="D75" s="2" t="s">
        <v>2724</v>
      </c>
      <c r="E75" s="2" t="s">
        <v>26</v>
      </c>
      <c r="F75" s="2">
        <v>2</v>
      </c>
      <c r="G75" s="2">
        <v>2</v>
      </c>
      <c r="H75" s="2">
        <v>1</v>
      </c>
      <c r="I75" s="2">
        <v>1</v>
      </c>
      <c r="J75" s="2">
        <v>2</v>
      </c>
      <c r="K75" s="2">
        <f t="shared" si="2"/>
        <v>8</v>
      </c>
      <c r="L75" s="2" t="s">
        <v>25</v>
      </c>
      <c r="M75" s="2" t="s">
        <v>1571</v>
      </c>
      <c r="N75" s="2" t="s">
        <v>2742</v>
      </c>
      <c r="O75" s="2" t="s">
        <v>2745</v>
      </c>
      <c r="P75" s="2" t="s">
        <v>811</v>
      </c>
    </row>
    <row r="76">
      <c r="A76" s="2">
        <v>31</v>
      </c>
      <c r="B76" s="2" t="s">
        <v>117</v>
      </c>
      <c r="C76" s="2" t="s">
        <v>256</v>
      </c>
      <c r="D76" s="2" t="s">
        <v>2724</v>
      </c>
      <c r="E76" s="2" t="s">
        <v>26</v>
      </c>
      <c r="F76" s="2">
        <v>2</v>
      </c>
      <c r="G76" s="2">
        <v>2</v>
      </c>
      <c r="H76" s="2">
        <v>1</v>
      </c>
      <c r="I76" s="2">
        <v>1</v>
      </c>
      <c r="J76" s="2">
        <v>2</v>
      </c>
      <c r="K76" s="2">
        <f t="shared" si="2"/>
        <v>8</v>
      </c>
      <c r="L76" s="2" t="s">
        <v>25</v>
      </c>
      <c r="M76" s="2" t="s">
        <v>1571</v>
      </c>
      <c r="N76" s="2" t="s">
        <v>2742</v>
      </c>
      <c r="O76" s="2" t="s">
        <v>2745</v>
      </c>
      <c r="P76" s="2" t="s">
        <v>262</v>
      </c>
    </row>
    <row r="77">
      <c r="A77" s="2">
        <v>141</v>
      </c>
      <c r="B77" s="2" t="s">
        <v>41</v>
      </c>
      <c r="C77" s="2" t="s">
        <v>844</v>
      </c>
      <c r="D77" s="2" t="s">
        <v>2724</v>
      </c>
      <c r="E77" s="2" t="s">
        <v>26</v>
      </c>
      <c r="F77" s="2">
        <v>2</v>
      </c>
      <c r="G77" s="2">
        <v>2</v>
      </c>
      <c r="H77" s="2">
        <v>1</v>
      </c>
      <c r="I77" s="2">
        <v>1</v>
      </c>
      <c r="J77" s="2">
        <v>2</v>
      </c>
      <c r="K77" s="2">
        <f t="shared" si="2"/>
        <v>8</v>
      </c>
      <c r="L77" s="2" t="s">
        <v>25</v>
      </c>
      <c r="M77" s="2" t="s">
        <v>1571</v>
      </c>
      <c r="N77" s="2" t="s">
        <v>2742</v>
      </c>
      <c r="O77" s="2" t="s">
        <v>2745</v>
      </c>
      <c r="P77" s="2" t="s">
        <v>847</v>
      </c>
    </row>
    <row r="78">
      <c r="A78" s="2">
        <v>159</v>
      </c>
      <c r="B78" s="2" t="s">
        <v>221</v>
      </c>
      <c r="C78" s="2" t="s">
        <v>930</v>
      </c>
      <c r="D78" s="2" t="s">
        <v>2724</v>
      </c>
      <c r="E78" s="2" t="s">
        <v>26</v>
      </c>
      <c r="F78" s="2">
        <v>2</v>
      </c>
      <c r="G78" s="2">
        <v>2</v>
      </c>
      <c r="H78" s="2">
        <v>1</v>
      </c>
      <c r="I78" s="2">
        <v>1</v>
      </c>
      <c r="J78" s="2">
        <v>2</v>
      </c>
      <c r="K78" s="2">
        <f t="shared" si="2"/>
        <v>8</v>
      </c>
      <c r="L78" s="2" t="s">
        <v>25</v>
      </c>
      <c r="M78" s="2" t="s">
        <v>1571</v>
      </c>
      <c r="N78" s="2" t="s">
        <v>2742</v>
      </c>
      <c r="O78" s="2" t="s">
        <v>2745</v>
      </c>
      <c r="P78" s="2" t="s">
        <v>933</v>
      </c>
    </row>
    <row r="79">
      <c r="A79" s="2">
        <v>50</v>
      </c>
      <c r="B79" s="2" t="s">
        <v>56</v>
      </c>
      <c r="C79" s="2" t="s">
        <v>357</v>
      </c>
      <c r="D79" s="2" t="s">
        <v>2704</v>
      </c>
      <c r="E79" s="2" t="s">
        <v>26</v>
      </c>
      <c r="F79" s="2">
        <v>2</v>
      </c>
      <c r="G79" s="2">
        <v>2</v>
      </c>
      <c r="H79" s="2">
        <v>2</v>
      </c>
      <c r="I79" s="2">
        <v>0</v>
      </c>
      <c r="J79" s="2">
        <v>1</v>
      </c>
      <c r="K79" s="2">
        <f t="shared" si="2"/>
        <v>7</v>
      </c>
      <c r="L79" s="2" t="s">
        <v>25</v>
      </c>
      <c r="M79" s="2" t="s">
        <v>1572</v>
      </c>
      <c r="N79" s="2" t="s">
        <v>2746</v>
      </c>
      <c r="O79" s="2" t="s">
        <v>2747</v>
      </c>
      <c r="P79" s="2" t="s">
        <v>359</v>
      </c>
    </row>
    <row r="80">
      <c r="A80" s="2">
        <v>72</v>
      </c>
      <c r="B80" s="2" t="s">
        <v>239</v>
      </c>
      <c r="C80" s="2" t="s">
        <v>472</v>
      </c>
      <c r="D80" s="2" t="s">
        <v>2704</v>
      </c>
      <c r="E80" s="2" t="s">
        <v>26</v>
      </c>
      <c r="F80" s="2">
        <v>2</v>
      </c>
      <c r="G80" s="2">
        <v>2</v>
      </c>
      <c r="H80" s="2">
        <v>2</v>
      </c>
      <c r="I80" s="2">
        <v>0</v>
      </c>
      <c r="J80" s="2">
        <v>1</v>
      </c>
      <c r="K80" s="2">
        <f t="shared" si="2"/>
        <v>7</v>
      </c>
      <c r="L80" s="2" t="s">
        <v>25</v>
      </c>
      <c r="M80" s="2" t="s">
        <v>1572</v>
      </c>
      <c r="N80" s="2" t="s">
        <v>2746</v>
      </c>
      <c r="O80" s="2" t="s">
        <v>2747</v>
      </c>
      <c r="P80" s="2" t="s">
        <v>474</v>
      </c>
    </row>
    <row r="81">
      <c r="A81" s="2">
        <v>226</v>
      </c>
      <c r="B81" s="2" t="s">
        <v>117</v>
      </c>
      <c r="C81" s="2" t="s">
        <v>1305</v>
      </c>
      <c r="D81" s="2" t="s">
        <v>2719</v>
      </c>
      <c r="E81" s="2" t="s">
        <v>26</v>
      </c>
      <c r="F81" s="2">
        <v>0</v>
      </c>
      <c r="G81" s="2">
        <v>2</v>
      </c>
      <c r="H81" s="2">
        <v>2</v>
      </c>
      <c r="I81" s="2">
        <v>1</v>
      </c>
      <c r="J81" s="2">
        <v>2</v>
      </c>
      <c r="K81" s="2">
        <f t="shared" si="2"/>
        <v>7</v>
      </c>
      <c r="L81" s="2" t="s">
        <v>25</v>
      </c>
      <c r="M81" s="2" t="s">
        <v>1572</v>
      </c>
      <c r="N81" s="2" t="s">
        <v>2746</v>
      </c>
      <c r="O81" s="2" t="s">
        <v>2747</v>
      </c>
      <c r="P81" s="2" t="s">
        <v>1307</v>
      </c>
    </row>
    <row r="82">
      <c r="A82" s="2">
        <v>180</v>
      </c>
      <c r="B82" s="2" t="s">
        <v>117</v>
      </c>
      <c r="C82" s="2" t="s">
        <v>1057</v>
      </c>
      <c r="D82" s="2" t="s">
        <v>2719</v>
      </c>
      <c r="E82" s="2" t="s">
        <v>26</v>
      </c>
      <c r="F82" s="2">
        <v>1</v>
      </c>
      <c r="G82" s="2">
        <v>2</v>
      </c>
      <c r="H82" s="2">
        <v>1</v>
      </c>
      <c r="I82" s="2">
        <v>1</v>
      </c>
      <c r="J82" s="2">
        <v>2</v>
      </c>
      <c r="K82" s="2">
        <f t="shared" si="2"/>
        <v>7</v>
      </c>
      <c r="L82" s="2" t="s">
        <v>25</v>
      </c>
      <c r="M82" s="2" t="s">
        <v>1572</v>
      </c>
      <c r="N82" s="2" t="s">
        <v>2746</v>
      </c>
      <c r="O82" s="2" t="s">
        <v>2747</v>
      </c>
      <c r="P82" s="2" t="s">
        <v>1060</v>
      </c>
    </row>
    <row r="83">
      <c r="A83" s="2">
        <v>81</v>
      </c>
      <c r="B83" s="2" t="s">
        <v>41</v>
      </c>
      <c r="C83" s="2" t="s">
        <v>514</v>
      </c>
      <c r="D83" s="2" t="s">
        <v>2719</v>
      </c>
      <c r="E83" s="2" t="s">
        <v>72</v>
      </c>
      <c r="F83" s="2">
        <v>2</v>
      </c>
      <c r="G83" s="2">
        <v>1</v>
      </c>
      <c r="H83" s="2">
        <v>1</v>
      </c>
      <c r="I83" s="2">
        <v>2</v>
      </c>
      <c r="J83" s="2">
        <v>1</v>
      </c>
      <c r="K83" s="2">
        <f t="shared" si="2"/>
        <v>7</v>
      </c>
      <c r="L83" s="2" t="s">
        <v>25</v>
      </c>
      <c r="M83" s="2" t="s">
        <v>1572</v>
      </c>
      <c r="N83" s="2" t="s">
        <v>2746</v>
      </c>
      <c r="O83" s="2" t="s">
        <v>2747</v>
      </c>
      <c r="P83" s="2" t="s">
        <v>517</v>
      </c>
    </row>
    <row r="84">
      <c r="A84" s="2">
        <v>119</v>
      </c>
      <c r="B84" s="2" t="s">
        <v>192</v>
      </c>
      <c r="C84" s="2" t="s">
        <v>726</v>
      </c>
      <c r="D84" s="2" t="s">
        <v>2719</v>
      </c>
      <c r="E84" s="2" t="s">
        <v>72</v>
      </c>
      <c r="F84" s="2">
        <v>2</v>
      </c>
      <c r="G84" s="2">
        <v>1</v>
      </c>
      <c r="H84" s="2">
        <v>1</v>
      </c>
      <c r="I84" s="2">
        <v>2</v>
      </c>
      <c r="J84" s="2">
        <v>1</v>
      </c>
      <c r="K84" s="2">
        <f t="shared" si="2"/>
        <v>7</v>
      </c>
      <c r="L84" s="2" t="s">
        <v>25</v>
      </c>
      <c r="M84" s="2" t="s">
        <v>1572</v>
      </c>
      <c r="N84" s="2" t="s">
        <v>2746</v>
      </c>
      <c r="O84" s="2" t="s">
        <v>2747</v>
      </c>
      <c r="P84" s="2" t="s">
        <v>731</v>
      </c>
    </row>
    <row r="85">
      <c r="A85" s="2">
        <v>17</v>
      </c>
      <c r="B85" s="2" t="s">
        <v>117</v>
      </c>
      <c r="C85" s="2" t="s">
        <v>168</v>
      </c>
      <c r="D85" s="2" t="s">
        <v>2724</v>
      </c>
      <c r="E85" s="2" t="s">
        <v>26</v>
      </c>
      <c r="F85" s="2">
        <v>2</v>
      </c>
      <c r="G85" s="2">
        <v>2</v>
      </c>
      <c r="H85" s="2">
        <v>1</v>
      </c>
      <c r="I85" s="2">
        <v>1</v>
      </c>
      <c r="J85" s="2">
        <v>1</v>
      </c>
      <c r="K85" s="2">
        <f t="shared" si="2"/>
        <v>7</v>
      </c>
      <c r="L85" s="2" t="s">
        <v>25</v>
      </c>
      <c r="M85" s="2" t="s">
        <v>1572</v>
      </c>
      <c r="N85" s="2" t="s">
        <v>2746</v>
      </c>
      <c r="O85" s="2" t="s">
        <v>2747</v>
      </c>
      <c r="P85" s="2" t="s">
        <v>173</v>
      </c>
    </row>
    <row r="86">
      <c r="A86" s="2">
        <v>126</v>
      </c>
      <c r="B86" s="2" t="s">
        <v>239</v>
      </c>
      <c r="C86" s="2" t="s">
        <v>767</v>
      </c>
      <c r="D86" s="2" t="s">
        <v>2724</v>
      </c>
      <c r="E86" s="2" t="s">
        <v>26</v>
      </c>
      <c r="F86" s="2">
        <v>2</v>
      </c>
      <c r="G86" s="2">
        <v>2</v>
      </c>
      <c r="H86" s="2">
        <v>1</v>
      </c>
      <c r="I86" s="2">
        <v>1</v>
      </c>
      <c r="J86" s="2">
        <v>1</v>
      </c>
      <c r="K86" s="2">
        <f t="shared" si="2"/>
        <v>7</v>
      </c>
      <c r="L86" s="2" t="s">
        <v>25</v>
      </c>
      <c r="M86" s="2" t="s">
        <v>1572</v>
      </c>
      <c r="N86" s="2" t="s">
        <v>2746</v>
      </c>
      <c r="O86" s="2" t="s">
        <v>2747</v>
      </c>
      <c r="P86" s="2" t="s">
        <v>771</v>
      </c>
    </row>
    <row r="87">
      <c r="A87" s="2">
        <v>156</v>
      </c>
      <c r="B87" s="2" t="s">
        <v>117</v>
      </c>
      <c r="C87" s="2" t="s">
        <v>917</v>
      </c>
      <c r="D87" s="2" t="s">
        <v>2724</v>
      </c>
      <c r="E87" s="2" t="s">
        <v>26</v>
      </c>
      <c r="F87" s="2">
        <v>2</v>
      </c>
      <c r="G87" s="2">
        <v>2</v>
      </c>
      <c r="H87" s="2">
        <v>1</v>
      </c>
      <c r="I87" s="2">
        <v>1</v>
      </c>
      <c r="J87" s="2">
        <v>1</v>
      </c>
      <c r="K87" s="2">
        <f t="shared" si="2"/>
        <v>7</v>
      </c>
      <c r="L87" s="2" t="s">
        <v>25</v>
      </c>
      <c r="M87" s="2" t="s">
        <v>1572</v>
      </c>
      <c r="N87" s="2" t="s">
        <v>2746</v>
      </c>
      <c r="O87" s="2" t="s">
        <v>2747</v>
      </c>
      <c r="P87" s="2" t="s">
        <v>920</v>
      </c>
    </row>
    <row r="88">
      <c r="A88" s="2">
        <v>166</v>
      </c>
      <c r="B88" s="2" t="s">
        <v>82</v>
      </c>
      <c r="C88" s="2" t="s">
        <v>967</v>
      </c>
      <c r="D88" s="2" t="s">
        <v>2724</v>
      </c>
      <c r="E88" s="2" t="s">
        <v>26</v>
      </c>
      <c r="F88" s="2">
        <v>2</v>
      </c>
      <c r="G88" s="2">
        <v>2</v>
      </c>
      <c r="H88" s="2">
        <v>1</v>
      </c>
      <c r="I88" s="2">
        <v>1</v>
      </c>
      <c r="J88" s="2">
        <v>1</v>
      </c>
      <c r="K88" s="2">
        <f t="shared" si="2"/>
        <v>7</v>
      </c>
      <c r="L88" s="2" t="s">
        <v>25</v>
      </c>
      <c r="M88" s="2" t="s">
        <v>1572</v>
      </c>
      <c r="N88" s="2" t="s">
        <v>2746</v>
      </c>
      <c r="O88" s="2" t="s">
        <v>2747</v>
      </c>
      <c r="P88" s="2" t="s">
        <v>970</v>
      </c>
    </row>
    <row r="89">
      <c r="A89" s="2">
        <v>110</v>
      </c>
      <c r="B89" s="2" t="s">
        <v>82</v>
      </c>
      <c r="C89" s="2" t="s">
        <v>675</v>
      </c>
      <c r="D89" s="2" t="s">
        <v>2724</v>
      </c>
      <c r="E89" s="2" t="s">
        <v>26</v>
      </c>
      <c r="F89" s="2">
        <v>0</v>
      </c>
      <c r="G89" s="2">
        <v>2</v>
      </c>
      <c r="H89" s="2">
        <v>1</v>
      </c>
      <c r="I89" s="2">
        <v>2</v>
      </c>
      <c r="J89" s="2">
        <v>2</v>
      </c>
      <c r="K89" s="2">
        <f t="shared" si="2"/>
        <v>7</v>
      </c>
      <c r="L89" s="2" t="s">
        <v>25</v>
      </c>
      <c r="M89" s="2" t="s">
        <v>1572</v>
      </c>
      <c r="N89" s="2" t="s">
        <v>2746</v>
      </c>
      <c r="O89" s="2" t="s">
        <v>2747</v>
      </c>
      <c r="P89" s="2" t="s">
        <v>679</v>
      </c>
    </row>
    <row r="90">
      <c r="A90" s="2">
        <v>158</v>
      </c>
      <c r="B90" s="2" t="s">
        <v>117</v>
      </c>
      <c r="C90" s="2" t="s">
        <v>926</v>
      </c>
      <c r="D90" s="2" t="s">
        <v>2724</v>
      </c>
      <c r="E90" s="2" t="s">
        <v>26</v>
      </c>
      <c r="F90" s="2">
        <v>2</v>
      </c>
      <c r="G90" s="2">
        <v>2</v>
      </c>
      <c r="H90" s="2">
        <v>1</v>
      </c>
      <c r="I90" s="2">
        <v>1</v>
      </c>
      <c r="J90" s="2">
        <v>1</v>
      </c>
      <c r="K90" s="2">
        <f t="shared" si="2"/>
        <v>7</v>
      </c>
      <c r="L90" s="2" t="s">
        <v>25</v>
      </c>
      <c r="M90" s="2" t="s">
        <v>1572</v>
      </c>
      <c r="N90" s="2" t="s">
        <v>2746</v>
      </c>
      <c r="O90" s="2" t="s">
        <v>2747</v>
      </c>
      <c r="P90" s="2" t="s">
        <v>928</v>
      </c>
    </row>
    <row r="91">
      <c r="A91" s="2">
        <v>163</v>
      </c>
      <c r="B91" s="2" t="s">
        <v>56</v>
      </c>
      <c r="C91" s="2" t="s">
        <v>953</v>
      </c>
      <c r="D91" s="2" t="s">
        <v>2724</v>
      </c>
      <c r="E91" s="2" t="s">
        <v>26</v>
      </c>
      <c r="F91" s="2">
        <v>2</v>
      </c>
      <c r="G91" s="2">
        <v>2</v>
      </c>
      <c r="H91" s="2">
        <v>1</v>
      </c>
      <c r="I91" s="2">
        <v>1</v>
      </c>
      <c r="J91" s="2">
        <v>1</v>
      </c>
      <c r="K91" s="2">
        <f t="shared" si="2"/>
        <v>7</v>
      </c>
      <c r="L91" s="2" t="s">
        <v>25</v>
      </c>
      <c r="M91" s="2" t="s">
        <v>1572</v>
      </c>
      <c r="N91" s="2" t="s">
        <v>2746</v>
      </c>
      <c r="O91" s="2" t="s">
        <v>2747</v>
      </c>
      <c r="P91" s="2" t="s">
        <v>955</v>
      </c>
    </row>
    <row r="92">
      <c r="A92" s="2">
        <v>117</v>
      </c>
      <c r="B92" s="2" t="s">
        <v>110</v>
      </c>
      <c r="C92" s="2" t="s">
        <v>714</v>
      </c>
      <c r="D92" s="2" t="s">
        <v>2724</v>
      </c>
      <c r="E92" s="2" t="s">
        <v>26</v>
      </c>
      <c r="F92" s="2">
        <v>2</v>
      </c>
      <c r="G92" s="2">
        <v>2</v>
      </c>
      <c r="H92" s="2">
        <v>1</v>
      </c>
      <c r="I92" s="2">
        <v>1</v>
      </c>
      <c r="J92" s="2">
        <v>1</v>
      </c>
      <c r="K92" s="2">
        <f t="shared" si="2"/>
        <v>7</v>
      </c>
      <c r="L92" s="2" t="s">
        <v>25</v>
      </c>
      <c r="M92" s="2" t="s">
        <v>1572</v>
      </c>
      <c r="N92" s="2" t="s">
        <v>2746</v>
      </c>
      <c r="O92" s="2" t="s">
        <v>2747</v>
      </c>
      <c r="P92" s="2" t="s">
        <v>719</v>
      </c>
    </row>
    <row r="93">
      <c r="A93" s="2">
        <v>99</v>
      </c>
      <c r="B93" s="2" t="s">
        <v>131</v>
      </c>
      <c r="C93" s="2" t="s">
        <v>610</v>
      </c>
      <c r="D93" s="2" t="s">
        <v>2724</v>
      </c>
      <c r="E93" s="2" t="s">
        <v>26</v>
      </c>
      <c r="F93" s="2">
        <v>2</v>
      </c>
      <c r="G93" s="2">
        <v>2</v>
      </c>
      <c r="H93" s="2">
        <v>1</v>
      </c>
      <c r="I93" s="2">
        <v>1</v>
      </c>
      <c r="J93" s="2">
        <v>1</v>
      </c>
      <c r="K93" s="2">
        <f t="shared" si="2"/>
        <v>7</v>
      </c>
      <c r="L93" s="2" t="s">
        <v>25</v>
      </c>
      <c r="M93" s="2" t="s">
        <v>1572</v>
      </c>
      <c r="N93" s="2" t="s">
        <v>2746</v>
      </c>
      <c r="O93" s="2" t="s">
        <v>2747</v>
      </c>
      <c r="P93" s="2" t="s">
        <v>614</v>
      </c>
    </row>
    <row r="94">
      <c r="A94" s="2">
        <v>12</v>
      </c>
      <c r="B94" s="2" t="s">
        <v>131</v>
      </c>
      <c r="C94" s="2" t="s">
        <v>132</v>
      </c>
      <c r="D94" s="2" t="s">
        <v>2724</v>
      </c>
      <c r="E94" s="2" t="s">
        <v>26</v>
      </c>
      <c r="F94" s="2">
        <v>2</v>
      </c>
      <c r="G94" s="2">
        <v>2</v>
      </c>
      <c r="H94" s="2">
        <v>1</v>
      </c>
      <c r="I94" s="2">
        <v>1</v>
      </c>
      <c r="J94" s="2">
        <v>1</v>
      </c>
      <c r="K94" s="2">
        <f t="shared" si="2"/>
        <v>7</v>
      </c>
      <c r="L94" s="2" t="s">
        <v>25</v>
      </c>
      <c r="M94" s="2" t="s">
        <v>1572</v>
      </c>
      <c r="N94" s="2" t="s">
        <v>2746</v>
      </c>
      <c r="O94" s="2" t="s">
        <v>2747</v>
      </c>
      <c r="P94" s="2" t="s">
        <v>136</v>
      </c>
    </row>
    <row r="95">
      <c r="A95" s="2">
        <v>164</v>
      </c>
      <c r="B95" s="2" t="s">
        <v>239</v>
      </c>
      <c r="C95" s="2" t="s">
        <v>957</v>
      </c>
      <c r="D95" s="2" t="s">
        <v>2724</v>
      </c>
      <c r="E95" s="2" t="s">
        <v>26</v>
      </c>
      <c r="F95" s="2">
        <v>2</v>
      </c>
      <c r="G95" s="2">
        <v>2</v>
      </c>
      <c r="H95" s="2">
        <v>1</v>
      </c>
      <c r="I95" s="2">
        <v>1</v>
      </c>
      <c r="J95" s="2">
        <v>1</v>
      </c>
      <c r="K95" s="2">
        <f t="shared" si="2"/>
        <v>7</v>
      </c>
      <c r="L95" s="2" t="s">
        <v>25</v>
      </c>
      <c r="M95" s="2" t="s">
        <v>1572</v>
      </c>
      <c r="N95" s="2" t="s">
        <v>2746</v>
      </c>
      <c r="O95" s="2" t="s">
        <v>2747</v>
      </c>
      <c r="P95" s="2" t="s">
        <v>960</v>
      </c>
    </row>
    <row r="96">
      <c r="A96" s="2">
        <v>155</v>
      </c>
      <c r="B96" s="2" t="s">
        <v>221</v>
      </c>
      <c r="C96" s="2" t="s">
        <v>913</v>
      </c>
      <c r="D96" s="2" t="s">
        <v>2724</v>
      </c>
      <c r="E96" s="2" t="s">
        <v>26</v>
      </c>
      <c r="F96" s="2">
        <v>2</v>
      </c>
      <c r="G96" s="2">
        <v>2</v>
      </c>
      <c r="H96" s="2">
        <v>1</v>
      </c>
      <c r="I96" s="2">
        <v>1</v>
      </c>
      <c r="J96" s="2">
        <v>1</v>
      </c>
      <c r="K96" s="2">
        <f t="shared" si="2"/>
        <v>7</v>
      </c>
      <c r="L96" s="2" t="s">
        <v>25</v>
      </c>
      <c r="M96" s="2" t="s">
        <v>1572</v>
      </c>
      <c r="N96" s="2" t="s">
        <v>2746</v>
      </c>
      <c r="O96" s="2" t="s">
        <v>2747</v>
      </c>
      <c r="P96" s="2" t="s">
        <v>915</v>
      </c>
    </row>
    <row r="97">
      <c r="A97" s="2">
        <v>121</v>
      </c>
      <c r="B97" s="2" t="s">
        <v>117</v>
      </c>
      <c r="C97" s="2" t="s">
        <v>736</v>
      </c>
      <c r="D97" s="2" t="s">
        <v>2724</v>
      </c>
      <c r="E97" s="2" t="s">
        <v>26</v>
      </c>
      <c r="F97" s="2">
        <v>2</v>
      </c>
      <c r="G97" s="2">
        <v>2</v>
      </c>
      <c r="H97" s="2">
        <v>1</v>
      </c>
      <c r="I97" s="2">
        <v>1</v>
      </c>
      <c r="J97" s="2">
        <v>1</v>
      </c>
      <c r="K97" s="2">
        <f t="shared" si="2"/>
        <v>7</v>
      </c>
      <c r="L97" s="2" t="s">
        <v>25</v>
      </c>
      <c r="M97" s="2" t="s">
        <v>1572</v>
      </c>
      <c r="N97" s="2" t="s">
        <v>2746</v>
      </c>
      <c r="O97" s="2" t="s">
        <v>2747</v>
      </c>
      <c r="P97" s="2" t="s">
        <v>741</v>
      </c>
    </row>
    <row r="98">
      <c r="A98" s="2">
        <v>40</v>
      </c>
      <c r="B98" s="2" t="s">
        <v>56</v>
      </c>
      <c r="C98" s="2" t="s">
        <v>308</v>
      </c>
      <c r="D98" s="2" t="s">
        <v>2724</v>
      </c>
      <c r="E98" s="2" t="s">
        <v>26</v>
      </c>
      <c r="F98" s="2">
        <v>2</v>
      </c>
      <c r="G98" s="2">
        <v>2</v>
      </c>
      <c r="H98" s="2">
        <v>1</v>
      </c>
      <c r="I98" s="2">
        <v>0</v>
      </c>
      <c r="J98" s="2">
        <v>2</v>
      </c>
      <c r="K98" s="2">
        <f t="shared" si="2"/>
        <v>7</v>
      </c>
      <c r="L98" s="2" t="s">
        <v>25</v>
      </c>
      <c r="M98" s="2" t="s">
        <v>1572</v>
      </c>
      <c r="N98" s="2" t="s">
        <v>2746</v>
      </c>
      <c r="O98" s="2" t="s">
        <v>2747</v>
      </c>
      <c r="P98" s="2" t="s">
        <v>311</v>
      </c>
    </row>
    <row r="99">
      <c r="A99" s="2">
        <v>10</v>
      </c>
      <c r="B99" s="2" t="s">
        <v>117</v>
      </c>
      <c r="C99" s="2" t="s">
        <v>118</v>
      </c>
      <c r="D99" s="2" t="s">
        <v>2724</v>
      </c>
      <c r="E99" s="2" t="s">
        <v>26</v>
      </c>
      <c r="F99" s="2">
        <v>2</v>
      </c>
      <c r="G99" s="2">
        <v>2</v>
      </c>
      <c r="H99" s="2">
        <v>1</v>
      </c>
      <c r="I99" s="2">
        <v>1</v>
      </c>
      <c r="J99" s="2">
        <v>1</v>
      </c>
      <c r="K99" s="2">
        <f t="shared" si="2"/>
        <v>7</v>
      </c>
      <c r="L99" s="2" t="s">
        <v>25</v>
      </c>
      <c r="M99" s="2" t="s">
        <v>1572</v>
      </c>
      <c r="N99" s="2" t="s">
        <v>2746</v>
      </c>
      <c r="O99" s="2" t="s">
        <v>2747</v>
      </c>
      <c r="P99" s="2" t="s">
        <v>122</v>
      </c>
    </row>
    <row r="100">
      <c r="A100" s="2">
        <v>129</v>
      </c>
      <c r="B100" s="2" t="s">
        <v>117</v>
      </c>
      <c r="C100" s="2" t="s">
        <v>782</v>
      </c>
      <c r="D100" s="2" t="s">
        <v>2724</v>
      </c>
      <c r="E100" s="2" t="s">
        <v>26</v>
      </c>
      <c r="F100" s="2">
        <v>2</v>
      </c>
      <c r="G100" s="2">
        <v>2</v>
      </c>
      <c r="H100" s="2">
        <v>1</v>
      </c>
      <c r="I100" s="2">
        <v>1</v>
      </c>
      <c r="J100" s="2">
        <v>1</v>
      </c>
      <c r="K100" s="2">
        <f t="shared" ref="K100:K163" si="3">SUM(F100:J100)</f>
        <v>7</v>
      </c>
      <c r="L100" s="2" t="s">
        <v>25</v>
      </c>
      <c r="M100" s="2" t="s">
        <v>1572</v>
      </c>
      <c r="N100" s="2" t="s">
        <v>2746</v>
      </c>
      <c r="O100" s="2" t="s">
        <v>2747</v>
      </c>
      <c r="P100" s="2" t="s">
        <v>786</v>
      </c>
    </row>
    <row r="101">
      <c r="A101" s="2">
        <v>143</v>
      </c>
      <c r="B101" s="2" t="s">
        <v>192</v>
      </c>
      <c r="C101" s="2" t="s">
        <v>854</v>
      </c>
      <c r="D101" s="2" t="s">
        <v>2724</v>
      </c>
      <c r="E101" s="2" t="s">
        <v>26</v>
      </c>
      <c r="F101" s="2">
        <v>2</v>
      </c>
      <c r="G101" s="2">
        <v>2</v>
      </c>
      <c r="H101" s="2">
        <v>1</v>
      </c>
      <c r="I101" s="2">
        <v>1</v>
      </c>
      <c r="J101" s="2">
        <v>1</v>
      </c>
      <c r="K101" s="2">
        <f t="shared" si="3"/>
        <v>7</v>
      </c>
      <c r="L101" s="2" t="s">
        <v>25</v>
      </c>
      <c r="M101" s="2" t="s">
        <v>1572</v>
      </c>
      <c r="N101" s="2" t="s">
        <v>2746</v>
      </c>
      <c r="O101" s="2" t="s">
        <v>2747</v>
      </c>
      <c r="P101" s="2" t="s">
        <v>857</v>
      </c>
    </row>
    <row r="102">
      <c r="A102" s="2">
        <v>153</v>
      </c>
      <c r="B102" s="2" t="s">
        <v>239</v>
      </c>
      <c r="C102" s="2" t="s">
        <v>902</v>
      </c>
      <c r="D102" s="2" t="s">
        <v>2724</v>
      </c>
      <c r="E102" s="2" t="s">
        <v>26</v>
      </c>
      <c r="F102" s="2">
        <v>2</v>
      </c>
      <c r="G102" s="2">
        <v>2</v>
      </c>
      <c r="H102" s="2">
        <v>1</v>
      </c>
      <c r="I102" s="2">
        <v>0</v>
      </c>
      <c r="J102" s="2">
        <v>2</v>
      </c>
      <c r="K102" s="2">
        <f t="shared" si="3"/>
        <v>7</v>
      </c>
      <c r="L102" s="2" t="s">
        <v>25</v>
      </c>
      <c r="M102" s="2" t="s">
        <v>1572</v>
      </c>
      <c r="N102" s="2" t="s">
        <v>2746</v>
      </c>
      <c r="O102" s="2" t="s">
        <v>2747</v>
      </c>
      <c r="P102" s="2" t="s">
        <v>905</v>
      </c>
    </row>
    <row r="103">
      <c r="A103" s="2">
        <v>131</v>
      </c>
      <c r="B103" s="2" t="s">
        <v>56</v>
      </c>
      <c r="C103" s="2" t="s">
        <v>792</v>
      </c>
      <c r="D103" s="2" t="s">
        <v>2724</v>
      </c>
      <c r="E103" s="2" t="s">
        <v>26</v>
      </c>
      <c r="F103" s="2">
        <v>2</v>
      </c>
      <c r="G103" s="2">
        <v>2</v>
      </c>
      <c r="H103" s="2">
        <v>1</v>
      </c>
      <c r="I103" s="2">
        <v>1</v>
      </c>
      <c r="J103" s="2">
        <v>1</v>
      </c>
      <c r="K103" s="2">
        <f t="shared" si="3"/>
        <v>7</v>
      </c>
      <c r="L103" s="2" t="s">
        <v>25</v>
      </c>
      <c r="M103" s="2" t="s">
        <v>1572</v>
      </c>
      <c r="N103" s="2" t="s">
        <v>2746</v>
      </c>
      <c r="O103" s="2" t="s">
        <v>2747</v>
      </c>
      <c r="P103" s="2" t="s">
        <v>795</v>
      </c>
    </row>
    <row r="104">
      <c r="A104" s="2">
        <v>140</v>
      </c>
      <c r="B104" s="2" t="s">
        <v>110</v>
      </c>
      <c r="C104" s="2" t="s">
        <v>839</v>
      </c>
      <c r="D104" s="2" t="s">
        <v>2724</v>
      </c>
      <c r="E104" s="2" t="s">
        <v>26</v>
      </c>
      <c r="F104" s="2">
        <v>2</v>
      </c>
      <c r="G104" s="2">
        <v>2</v>
      </c>
      <c r="H104" s="2">
        <v>1</v>
      </c>
      <c r="I104" s="2">
        <v>1</v>
      </c>
      <c r="J104" s="2">
        <v>1</v>
      </c>
      <c r="K104" s="2">
        <f t="shared" si="3"/>
        <v>7</v>
      </c>
      <c r="L104" s="2" t="s">
        <v>25</v>
      </c>
      <c r="M104" s="2" t="s">
        <v>1572</v>
      </c>
      <c r="N104" s="2" t="s">
        <v>2746</v>
      </c>
      <c r="O104" s="2" t="s">
        <v>2747</v>
      </c>
      <c r="P104" s="2" t="s">
        <v>842</v>
      </c>
    </row>
    <row r="105">
      <c r="A105" s="2">
        <v>45</v>
      </c>
      <c r="B105" s="2" t="s">
        <v>41</v>
      </c>
      <c r="C105" s="2" t="s">
        <v>331</v>
      </c>
      <c r="D105" s="2" t="s">
        <v>2724</v>
      </c>
      <c r="E105" s="2" t="s">
        <v>26</v>
      </c>
      <c r="F105" s="2">
        <v>2</v>
      </c>
      <c r="G105" s="2">
        <v>2</v>
      </c>
      <c r="H105" s="2">
        <v>1</v>
      </c>
      <c r="I105" s="2">
        <v>1</v>
      </c>
      <c r="J105" s="2">
        <v>1</v>
      </c>
      <c r="K105" s="2">
        <f t="shared" si="3"/>
        <v>7</v>
      </c>
      <c r="L105" s="2" t="s">
        <v>25</v>
      </c>
      <c r="M105" s="2" t="s">
        <v>1572</v>
      </c>
      <c r="N105" s="2" t="s">
        <v>2746</v>
      </c>
      <c r="O105" s="2" t="s">
        <v>2747</v>
      </c>
      <c r="P105" s="2" t="s">
        <v>334</v>
      </c>
    </row>
    <row r="106">
      <c r="A106" s="2">
        <v>165</v>
      </c>
      <c r="B106" s="2" t="s">
        <v>239</v>
      </c>
      <c r="C106" s="2" t="s">
        <v>962</v>
      </c>
      <c r="D106" s="2" t="s">
        <v>2724</v>
      </c>
      <c r="E106" s="2" t="s">
        <v>26</v>
      </c>
      <c r="F106" s="2">
        <v>2</v>
      </c>
      <c r="G106" s="2">
        <v>2</v>
      </c>
      <c r="H106" s="2">
        <v>1</v>
      </c>
      <c r="I106" s="2">
        <v>1</v>
      </c>
      <c r="J106" s="2">
        <v>1</v>
      </c>
      <c r="K106" s="2">
        <f t="shared" si="3"/>
        <v>7</v>
      </c>
      <c r="L106" s="2" t="s">
        <v>25</v>
      </c>
      <c r="M106" s="2" t="s">
        <v>1572</v>
      </c>
      <c r="N106" s="2" t="s">
        <v>2746</v>
      </c>
      <c r="O106" s="2" t="s">
        <v>2747</v>
      </c>
      <c r="P106" s="2" t="s">
        <v>965</v>
      </c>
    </row>
    <row r="107">
      <c r="A107" s="2">
        <v>135</v>
      </c>
      <c r="B107" s="2" t="s">
        <v>117</v>
      </c>
      <c r="C107" s="2" t="s">
        <v>813</v>
      </c>
      <c r="D107" s="2" t="s">
        <v>2724</v>
      </c>
      <c r="E107" s="2" t="s">
        <v>26</v>
      </c>
      <c r="F107" s="2">
        <v>2</v>
      </c>
      <c r="G107" s="2">
        <v>2</v>
      </c>
      <c r="H107" s="2">
        <v>1</v>
      </c>
      <c r="I107" s="2">
        <v>1</v>
      </c>
      <c r="J107" s="2">
        <v>1</v>
      </c>
      <c r="K107" s="2">
        <f t="shared" si="3"/>
        <v>7</v>
      </c>
      <c r="L107" s="2" t="s">
        <v>25</v>
      </c>
      <c r="M107" s="2" t="s">
        <v>1572</v>
      </c>
      <c r="N107" s="2" t="s">
        <v>2746</v>
      </c>
      <c r="O107" s="2" t="s">
        <v>2747</v>
      </c>
      <c r="P107" s="2" t="s">
        <v>816</v>
      </c>
    </row>
    <row r="108">
      <c r="A108" s="2">
        <v>139</v>
      </c>
      <c r="B108" s="2" t="s">
        <v>41</v>
      </c>
      <c r="C108" s="2" t="s">
        <v>833</v>
      </c>
      <c r="D108" s="2" t="s">
        <v>2724</v>
      </c>
      <c r="E108" s="2" t="s">
        <v>26</v>
      </c>
      <c r="F108" s="2">
        <v>2</v>
      </c>
      <c r="G108" s="2">
        <v>2</v>
      </c>
      <c r="H108" s="2">
        <v>1</v>
      </c>
      <c r="I108" s="2">
        <v>1</v>
      </c>
      <c r="J108" s="2">
        <v>1</v>
      </c>
      <c r="K108" s="2">
        <f t="shared" si="3"/>
        <v>7</v>
      </c>
      <c r="L108" s="2" t="s">
        <v>25</v>
      </c>
      <c r="M108" s="2" t="s">
        <v>1572</v>
      </c>
      <c r="N108" s="2" t="s">
        <v>2746</v>
      </c>
      <c r="O108" s="2" t="s">
        <v>2747</v>
      </c>
      <c r="P108" s="2" t="s">
        <v>837</v>
      </c>
    </row>
    <row r="109">
      <c r="A109" s="2">
        <v>154</v>
      </c>
      <c r="B109" s="2" t="s">
        <v>117</v>
      </c>
      <c r="C109" s="2" t="s">
        <v>907</v>
      </c>
      <c r="D109" s="2" t="s">
        <v>2724</v>
      </c>
      <c r="E109" s="2" t="s">
        <v>26</v>
      </c>
      <c r="F109" s="2">
        <v>2</v>
      </c>
      <c r="G109" s="2">
        <v>2</v>
      </c>
      <c r="H109" s="2">
        <v>1</v>
      </c>
      <c r="I109" s="2">
        <v>1</v>
      </c>
      <c r="J109" s="2">
        <v>1</v>
      </c>
      <c r="K109" s="2">
        <f t="shared" si="3"/>
        <v>7</v>
      </c>
      <c r="L109" s="2" t="s">
        <v>25</v>
      </c>
      <c r="M109" s="2" t="s">
        <v>1572</v>
      </c>
      <c r="N109" s="2" t="s">
        <v>2746</v>
      </c>
      <c r="O109" s="2" t="s">
        <v>2747</v>
      </c>
      <c r="P109" s="2" t="s">
        <v>911</v>
      </c>
    </row>
    <row r="110">
      <c r="A110" s="2">
        <v>106</v>
      </c>
      <c r="B110" s="2" t="s">
        <v>56</v>
      </c>
      <c r="C110" s="2" t="s">
        <v>653</v>
      </c>
      <c r="D110" s="2" t="s">
        <v>2724</v>
      </c>
      <c r="E110" s="2" t="s">
        <v>26</v>
      </c>
      <c r="F110" s="2">
        <v>2</v>
      </c>
      <c r="G110" s="2">
        <v>2</v>
      </c>
      <c r="H110" s="2">
        <v>1</v>
      </c>
      <c r="I110" s="2">
        <v>1</v>
      </c>
      <c r="J110" s="2">
        <v>1</v>
      </c>
      <c r="K110" s="2">
        <f t="shared" si="3"/>
        <v>7</v>
      </c>
      <c r="L110" s="2" t="s">
        <v>25</v>
      </c>
      <c r="M110" s="2" t="s">
        <v>1572</v>
      </c>
      <c r="N110" s="2" t="s">
        <v>2746</v>
      </c>
      <c r="O110" s="2" t="s">
        <v>2747</v>
      </c>
      <c r="P110" s="2" t="s">
        <v>656</v>
      </c>
    </row>
    <row r="111">
      <c r="A111" s="2">
        <v>107</v>
      </c>
      <c r="B111" s="2" t="s">
        <v>41</v>
      </c>
      <c r="C111" s="2" t="s">
        <v>658</v>
      </c>
      <c r="D111" s="2" t="s">
        <v>2724</v>
      </c>
      <c r="E111" s="2" t="s">
        <v>26</v>
      </c>
      <c r="F111" s="2">
        <v>2</v>
      </c>
      <c r="G111" s="2">
        <v>2</v>
      </c>
      <c r="H111" s="2">
        <v>1</v>
      </c>
      <c r="I111" s="2">
        <v>1</v>
      </c>
      <c r="J111" s="2">
        <v>1</v>
      </c>
      <c r="K111" s="2">
        <f t="shared" si="3"/>
        <v>7</v>
      </c>
      <c r="L111" s="2" t="s">
        <v>25</v>
      </c>
      <c r="M111" s="2" t="s">
        <v>1572</v>
      </c>
      <c r="N111" s="2" t="s">
        <v>2746</v>
      </c>
      <c r="O111" s="2" t="s">
        <v>2747</v>
      </c>
      <c r="P111" s="2" t="s">
        <v>662</v>
      </c>
    </row>
    <row r="112">
      <c r="A112" s="2">
        <v>130</v>
      </c>
      <c r="B112" s="2" t="s">
        <v>41</v>
      </c>
      <c r="C112" s="2" t="s">
        <v>788</v>
      </c>
      <c r="D112" s="2" t="s">
        <v>2724</v>
      </c>
      <c r="E112" s="2" t="s">
        <v>26</v>
      </c>
      <c r="F112" s="2">
        <v>2</v>
      </c>
      <c r="G112" s="2">
        <v>2</v>
      </c>
      <c r="H112" s="2">
        <v>1</v>
      </c>
      <c r="I112" s="2">
        <v>1</v>
      </c>
      <c r="J112" s="2">
        <v>1</v>
      </c>
      <c r="K112" s="2">
        <f t="shared" si="3"/>
        <v>7</v>
      </c>
      <c r="L112" s="2" t="s">
        <v>25</v>
      </c>
      <c r="M112" s="2" t="s">
        <v>1572</v>
      </c>
      <c r="N112" s="2" t="s">
        <v>2746</v>
      </c>
      <c r="O112" s="2" t="s">
        <v>2747</v>
      </c>
      <c r="P112" s="2" t="s">
        <v>790</v>
      </c>
    </row>
    <row r="113">
      <c r="A113" s="2">
        <v>148</v>
      </c>
      <c r="B113" s="2" t="s">
        <v>117</v>
      </c>
      <c r="C113" s="2" t="s">
        <v>877</v>
      </c>
      <c r="D113" s="2" t="s">
        <v>2724</v>
      </c>
      <c r="E113" s="2" t="s">
        <v>26</v>
      </c>
      <c r="F113" s="2">
        <v>2</v>
      </c>
      <c r="G113" s="2">
        <v>2</v>
      </c>
      <c r="H113" s="2">
        <v>1</v>
      </c>
      <c r="I113" s="2">
        <v>1</v>
      </c>
      <c r="J113" s="2">
        <v>1</v>
      </c>
      <c r="K113" s="2">
        <f t="shared" si="3"/>
        <v>7</v>
      </c>
      <c r="L113" s="2" t="s">
        <v>25</v>
      </c>
      <c r="M113" s="2" t="s">
        <v>1572</v>
      </c>
      <c r="N113" s="2" t="s">
        <v>2746</v>
      </c>
      <c r="O113" s="2" t="s">
        <v>2747</v>
      </c>
      <c r="P113" s="2" t="s">
        <v>880</v>
      </c>
    </row>
    <row r="114">
      <c r="A114" s="2">
        <v>105</v>
      </c>
      <c r="B114" s="2" t="s">
        <v>646</v>
      </c>
      <c r="C114" s="2" t="s">
        <v>647</v>
      </c>
      <c r="D114" s="2" t="s">
        <v>2724</v>
      </c>
      <c r="E114" s="2" t="s">
        <v>26</v>
      </c>
      <c r="F114" s="2">
        <v>2</v>
      </c>
      <c r="G114" s="2">
        <v>2</v>
      </c>
      <c r="H114" s="2">
        <v>1</v>
      </c>
      <c r="I114" s="2">
        <v>1</v>
      </c>
      <c r="J114" s="2">
        <v>1</v>
      </c>
      <c r="K114" s="2">
        <f t="shared" si="3"/>
        <v>7</v>
      </c>
      <c r="L114" s="2" t="s">
        <v>25</v>
      </c>
      <c r="M114" s="2" t="s">
        <v>1572</v>
      </c>
      <c r="N114" s="2" t="s">
        <v>2746</v>
      </c>
      <c r="O114" s="2" t="s">
        <v>2747</v>
      </c>
      <c r="P114" s="2" t="s">
        <v>651</v>
      </c>
    </row>
    <row r="115">
      <c r="A115" s="2">
        <v>137</v>
      </c>
      <c r="B115" s="2" t="s">
        <v>56</v>
      </c>
      <c r="C115" s="2" t="s">
        <v>823</v>
      </c>
      <c r="D115" s="2" t="s">
        <v>2724</v>
      </c>
      <c r="E115" s="2" t="s">
        <v>26</v>
      </c>
      <c r="F115" s="2">
        <v>2</v>
      </c>
      <c r="G115" s="2">
        <v>2</v>
      </c>
      <c r="H115" s="2">
        <v>1</v>
      </c>
      <c r="I115" s="2">
        <v>0</v>
      </c>
      <c r="J115" s="2">
        <v>2</v>
      </c>
      <c r="K115" s="2">
        <f t="shared" si="3"/>
        <v>7</v>
      </c>
      <c r="L115" s="2" t="s">
        <v>25</v>
      </c>
      <c r="M115" s="2" t="s">
        <v>1572</v>
      </c>
      <c r="N115" s="2" t="s">
        <v>2746</v>
      </c>
      <c r="O115" s="2" t="s">
        <v>2747</v>
      </c>
      <c r="P115" s="2" t="s">
        <v>824</v>
      </c>
    </row>
    <row r="116">
      <c r="A116" s="2">
        <v>138</v>
      </c>
      <c r="B116" s="2" t="s">
        <v>41</v>
      </c>
      <c r="C116" s="2" t="s">
        <v>826</v>
      </c>
      <c r="D116" s="2" t="s">
        <v>2724</v>
      </c>
      <c r="E116" s="2" t="s">
        <v>26</v>
      </c>
      <c r="F116" s="2">
        <v>2</v>
      </c>
      <c r="G116" s="2">
        <v>2</v>
      </c>
      <c r="H116" s="2">
        <v>1</v>
      </c>
      <c r="I116" s="2">
        <v>1</v>
      </c>
      <c r="J116" s="2">
        <v>1</v>
      </c>
      <c r="K116" s="2">
        <f t="shared" si="3"/>
        <v>7</v>
      </c>
      <c r="L116" s="2" t="s">
        <v>25</v>
      </c>
      <c r="M116" s="2" t="s">
        <v>1572</v>
      </c>
      <c r="N116" s="2" t="s">
        <v>2746</v>
      </c>
      <c r="O116" s="2" t="s">
        <v>2747</v>
      </c>
      <c r="P116" s="2" t="s">
        <v>831</v>
      </c>
    </row>
    <row r="117">
      <c r="A117" s="2">
        <v>108</v>
      </c>
      <c r="B117" s="2" t="s">
        <v>56</v>
      </c>
      <c r="C117" s="2" t="s">
        <v>664</v>
      </c>
      <c r="D117" s="2" t="s">
        <v>2724</v>
      </c>
      <c r="E117" s="2" t="s">
        <v>26</v>
      </c>
      <c r="F117" s="2">
        <v>0</v>
      </c>
      <c r="G117" s="2">
        <v>2</v>
      </c>
      <c r="H117" s="2">
        <v>1</v>
      </c>
      <c r="I117" s="2">
        <v>2</v>
      </c>
      <c r="J117" s="2">
        <v>2</v>
      </c>
      <c r="K117" s="2">
        <f t="shared" si="3"/>
        <v>7</v>
      </c>
      <c r="L117" s="2" t="s">
        <v>25</v>
      </c>
      <c r="M117" s="2" t="s">
        <v>1572</v>
      </c>
      <c r="N117" s="2" t="s">
        <v>2746</v>
      </c>
      <c r="O117" s="2" t="s">
        <v>2747</v>
      </c>
      <c r="P117" s="2" t="s">
        <v>667</v>
      </c>
    </row>
    <row r="118">
      <c r="A118" s="2">
        <v>149</v>
      </c>
      <c r="B118" s="2" t="s">
        <v>56</v>
      </c>
      <c r="C118" s="2" t="s">
        <v>882</v>
      </c>
      <c r="D118" s="2" t="s">
        <v>2724</v>
      </c>
      <c r="E118" s="2" t="s">
        <v>26</v>
      </c>
      <c r="F118" s="2">
        <v>2</v>
      </c>
      <c r="G118" s="2">
        <v>2</v>
      </c>
      <c r="H118" s="2">
        <v>1</v>
      </c>
      <c r="I118" s="2">
        <v>1</v>
      </c>
      <c r="J118" s="2">
        <v>1</v>
      </c>
      <c r="K118" s="2">
        <f t="shared" si="3"/>
        <v>7</v>
      </c>
      <c r="L118" s="2" t="s">
        <v>25</v>
      </c>
      <c r="M118" s="2" t="s">
        <v>1572</v>
      </c>
      <c r="N118" s="2" t="s">
        <v>2746</v>
      </c>
      <c r="O118" s="2" t="s">
        <v>2747</v>
      </c>
      <c r="P118" s="2" t="s">
        <v>884</v>
      </c>
    </row>
    <row r="119">
      <c r="A119" s="2">
        <v>104</v>
      </c>
      <c r="B119" s="2" t="s">
        <v>41</v>
      </c>
      <c r="C119" s="2" t="s">
        <v>642</v>
      </c>
      <c r="D119" s="2" t="s">
        <v>2724</v>
      </c>
      <c r="E119" s="2" t="s">
        <v>26</v>
      </c>
      <c r="F119" s="2">
        <v>2</v>
      </c>
      <c r="G119" s="2">
        <v>2</v>
      </c>
      <c r="H119" s="2">
        <v>1</v>
      </c>
      <c r="I119" s="2">
        <v>0</v>
      </c>
      <c r="J119" s="2">
        <v>2</v>
      </c>
      <c r="K119" s="2">
        <f t="shared" si="3"/>
        <v>7</v>
      </c>
      <c r="L119" s="2" t="s">
        <v>25</v>
      </c>
      <c r="M119" s="2" t="s">
        <v>1572</v>
      </c>
      <c r="N119" s="2" t="s">
        <v>2746</v>
      </c>
      <c r="O119" s="2" t="s">
        <v>2747</v>
      </c>
      <c r="P119" s="2" t="s">
        <v>644</v>
      </c>
    </row>
    <row r="120">
      <c r="A120" s="2">
        <v>113</v>
      </c>
      <c r="B120" s="2" t="s">
        <v>41</v>
      </c>
      <c r="C120" s="2" t="s">
        <v>690</v>
      </c>
      <c r="D120" s="2" t="s">
        <v>2724</v>
      </c>
      <c r="E120" s="2" t="s">
        <v>26</v>
      </c>
      <c r="F120" s="2">
        <v>0</v>
      </c>
      <c r="G120" s="2">
        <v>2</v>
      </c>
      <c r="H120" s="2">
        <v>1</v>
      </c>
      <c r="I120" s="2">
        <v>2</v>
      </c>
      <c r="J120" s="2">
        <v>2</v>
      </c>
      <c r="K120" s="2">
        <f t="shared" si="3"/>
        <v>7</v>
      </c>
      <c r="L120" s="2" t="s">
        <v>25</v>
      </c>
      <c r="M120" s="2" t="s">
        <v>1572</v>
      </c>
      <c r="N120" s="2" t="s">
        <v>2746</v>
      </c>
      <c r="O120" s="2" t="s">
        <v>2747</v>
      </c>
      <c r="P120" s="2" t="s">
        <v>694</v>
      </c>
    </row>
    <row r="121">
      <c r="A121" s="2">
        <v>7</v>
      </c>
      <c r="B121" s="2" t="s">
        <v>41</v>
      </c>
      <c r="C121" s="2" t="s">
        <v>97</v>
      </c>
      <c r="D121" s="2" t="s">
        <v>2729</v>
      </c>
      <c r="E121" s="2" t="s">
        <v>72</v>
      </c>
      <c r="F121" s="2">
        <v>2</v>
      </c>
      <c r="G121" s="2">
        <v>1</v>
      </c>
      <c r="H121" s="2">
        <v>2</v>
      </c>
      <c r="I121" s="2">
        <v>0</v>
      </c>
      <c r="J121" s="2">
        <v>1</v>
      </c>
      <c r="K121" s="2">
        <f t="shared" si="3"/>
        <v>6</v>
      </c>
      <c r="L121" s="2" t="s">
        <v>25</v>
      </c>
      <c r="M121" s="2" t="s">
        <v>1572</v>
      </c>
      <c r="N121" s="2" t="s">
        <v>2746</v>
      </c>
      <c r="O121" s="2" t="s">
        <v>2747</v>
      </c>
      <c r="P121" s="2" t="s">
        <v>101</v>
      </c>
    </row>
    <row r="122">
      <c r="A122" s="2">
        <v>30</v>
      </c>
      <c r="B122" s="2" t="s">
        <v>41</v>
      </c>
      <c r="C122" s="2" t="s">
        <v>252</v>
      </c>
      <c r="D122" s="2" t="s">
        <v>2729</v>
      </c>
      <c r="E122" s="2" t="s">
        <v>72</v>
      </c>
      <c r="F122" s="2">
        <v>2</v>
      </c>
      <c r="G122" s="2">
        <v>1</v>
      </c>
      <c r="H122" s="2">
        <v>2</v>
      </c>
      <c r="I122" s="2">
        <v>0</v>
      </c>
      <c r="J122" s="2">
        <v>1</v>
      </c>
      <c r="K122" s="2">
        <f t="shared" si="3"/>
        <v>6</v>
      </c>
      <c r="L122" s="2" t="s">
        <v>25</v>
      </c>
      <c r="M122" s="2" t="s">
        <v>1572</v>
      </c>
      <c r="N122" s="2" t="s">
        <v>2746</v>
      </c>
      <c r="O122" s="2" t="s">
        <v>2747</v>
      </c>
      <c r="P122" s="2" t="s">
        <v>254</v>
      </c>
    </row>
    <row r="123">
      <c r="A123" s="2">
        <v>39</v>
      </c>
      <c r="B123" s="2" t="s">
        <v>82</v>
      </c>
      <c r="C123" s="2" t="s">
        <v>301</v>
      </c>
      <c r="D123" s="2" t="s">
        <v>2719</v>
      </c>
      <c r="E123" s="2" t="s">
        <v>72</v>
      </c>
      <c r="F123" s="2">
        <v>2</v>
      </c>
      <c r="G123" s="2">
        <v>1</v>
      </c>
      <c r="H123" s="2">
        <v>1</v>
      </c>
      <c r="I123" s="2">
        <v>1</v>
      </c>
      <c r="J123" s="2">
        <v>1</v>
      </c>
      <c r="K123" s="2">
        <f t="shared" si="3"/>
        <v>6</v>
      </c>
      <c r="L123" s="2" t="s">
        <v>25</v>
      </c>
      <c r="M123" s="2" t="s">
        <v>1572</v>
      </c>
      <c r="N123" s="2" t="s">
        <v>2746</v>
      </c>
      <c r="O123" s="2" t="s">
        <v>2747</v>
      </c>
      <c r="P123" s="2" t="s">
        <v>306</v>
      </c>
    </row>
    <row r="124">
      <c r="A124" s="2">
        <v>197</v>
      </c>
      <c r="B124" s="2" t="s">
        <v>131</v>
      </c>
      <c r="C124" s="2" t="s">
        <v>1148</v>
      </c>
      <c r="D124" s="2" t="s">
        <v>2719</v>
      </c>
      <c r="E124" s="2" t="s">
        <v>72</v>
      </c>
      <c r="F124" s="2">
        <v>2</v>
      </c>
      <c r="G124" s="2">
        <v>1</v>
      </c>
      <c r="H124" s="2">
        <v>1</v>
      </c>
      <c r="I124" s="2">
        <v>1</v>
      </c>
      <c r="J124" s="2">
        <v>1</v>
      </c>
      <c r="K124" s="2">
        <f t="shared" si="3"/>
        <v>6</v>
      </c>
      <c r="L124" s="2" t="s">
        <v>25</v>
      </c>
      <c r="M124" s="2" t="s">
        <v>1572</v>
      </c>
      <c r="N124" s="2" t="s">
        <v>2746</v>
      </c>
      <c r="O124" s="2" t="s">
        <v>2747</v>
      </c>
      <c r="P124" s="2" t="s">
        <v>1155</v>
      </c>
    </row>
    <row r="125">
      <c r="A125" s="2">
        <v>58</v>
      </c>
      <c r="B125" s="2" t="s">
        <v>56</v>
      </c>
      <c r="C125" s="2" t="s">
        <v>400</v>
      </c>
      <c r="D125" s="2" t="s">
        <v>2719</v>
      </c>
      <c r="E125" s="2" t="s">
        <v>72</v>
      </c>
      <c r="F125" s="2">
        <v>2</v>
      </c>
      <c r="G125" s="2">
        <v>1</v>
      </c>
      <c r="H125" s="2">
        <v>1</v>
      </c>
      <c r="I125" s="2">
        <v>1</v>
      </c>
      <c r="J125" s="2">
        <v>1</v>
      </c>
      <c r="K125" s="2">
        <f t="shared" si="3"/>
        <v>6</v>
      </c>
      <c r="L125" s="2" t="s">
        <v>25</v>
      </c>
      <c r="M125" s="2" t="s">
        <v>1572</v>
      </c>
      <c r="N125" s="2" t="s">
        <v>2746</v>
      </c>
      <c r="O125" s="2" t="s">
        <v>2747</v>
      </c>
      <c r="P125" s="2" t="s">
        <v>405</v>
      </c>
    </row>
    <row r="126">
      <c r="A126" s="2">
        <v>178</v>
      </c>
      <c r="B126" s="2" t="s">
        <v>117</v>
      </c>
      <c r="C126" s="2" t="s">
        <v>1045</v>
      </c>
      <c r="D126" s="2" t="s">
        <v>2719</v>
      </c>
      <c r="E126" s="2" t="s">
        <v>26</v>
      </c>
      <c r="F126" s="2">
        <v>1</v>
      </c>
      <c r="G126" s="2">
        <v>1</v>
      </c>
      <c r="H126" s="2">
        <v>1</v>
      </c>
      <c r="I126" s="2">
        <v>1</v>
      </c>
      <c r="J126" s="2">
        <v>2</v>
      </c>
      <c r="K126" s="2">
        <f t="shared" si="3"/>
        <v>6</v>
      </c>
      <c r="L126" s="2" t="s">
        <v>25</v>
      </c>
      <c r="M126" s="2" t="s">
        <v>1572</v>
      </c>
      <c r="N126" s="2" t="s">
        <v>2746</v>
      </c>
      <c r="O126" s="2" t="s">
        <v>2747</v>
      </c>
      <c r="P126" s="2" t="s">
        <v>1049</v>
      </c>
    </row>
    <row r="127">
      <c r="A127" s="2">
        <v>186</v>
      </c>
      <c r="B127" s="2" t="s">
        <v>41</v>
      </c>
      <c r="C127" s="2" t="s">
        <v>1092</v>
      </c>
      <c r="D127" s="2" t="s">
        <v>2719</v>
      </c>
      <c r="E127" s="2" t="s">
        <v>72</v>
      </c>
      <c r="F127" s="2">
        <v>0</v>
      </c>
      <c r="G127" s="2">
        <v>2</v>
      </c>
      <c r="H127" s="2">
        <v>0</v>
      </c>
      <c r="I127" s="2">
        <v>2</v>
      </c>
      <c r="J127" s="2">
        <v>2</v>
      </c>
      <c r="K127" s="2">
        <f t="shared" si="3"/>
        <v>6</v>
      </c>
      <c r="L127" s="2" t="s">
        <v>25</v>
      </c>
      <c r="M127" s="2" t="s">
        <v>1572</v>
      </c>
      <c r="N127" s="2" t="s">
        <v>2746</v>
      </c>
      <c r="O127" s="2" t="s">
        <v>2747</v>
      </c>
      <c r="P127" s="2" t="s">
        <v>1096</v>
      </c>
    </row>
    <row r="128">
      <c r="A128" s="2">
        <v>87</v>
      </c>
      <c r="B128" s="2" t="s">
        <v>41</v>
      </c>
      <c r="C128" s="2" t="s">
        <v>543</v>
      </c>
      <c r="D128" s="2" t="s">
        <v>2719</v>
      </c>
      <c r="E128" s="2" t="s">
        <v>72</v>
      </c>
      <c r="F128" s="2">
        <v>2</v>
      </c>
      <c r="G128" s="2">
        <v>1</v>
      </c>
      <c r="H128" s="2">
        <v>1</v>
      </c>
      <c r="I128" s="2">
        <v>1</v>
      </c>
      <c r="J128" s="2">
        <v>1</v>
      </c>
      <c r="K128" s="2">
        <f t="shared" si="3"/>
        <v>6</v>
      </c>
      <c r="L128" s="2" t="s">
        <v>25</v>
      </c>
      <c r="M128" s="2" t="s">
        <v>1572</v>
      </c>
      <c r="N128" s="2" t="s">
        <v>2746</v>
      </c>
      <c r="O128" s="2" t="s">
        <v>2747</v>
      </c>
      <c r="P128" s="2" t="s">
        <v>548</v>
      </c>
    </row>
    <row r="129">
      <c r="A129" s="2">
        <v>257</v>
      </c>
      <c r="B129" s="2" t="s">
        <v>131</v>
      </c>
      <c r="C129" s="2" t="s">
        <v>1466</v>
      </c>
      <c r="D129" s="2" t="s">
        <v>2719</v>
      </c>
      <c r="E129" s="2" t="s">
        <v>72</v>
      </c>
      <c r="F129" s="2">
        <v>2</v>
      </c>
      <c r="G129" s="2">
        <v>1</v>
      </c>
      <c r="H129" s="2">
        <v>1</v>
      </c>
      <c r="I129" s="2">
        <v>1</v>
      </c>
      <c r="J129" s="2">
        <v>1</v>
      </c>
      <c r="K129" s="2">
        <f t="shared" si="3"/>
        <v>6</v>
      </c>
      <c r="L129" s="2" t="s">
        <v>25</v>
      </c>
      <c r="M129" s="2" t="s">
        <v>1572</v>
      </c>
      <c r="N129" s="2" t="s">
        <v>2746</v>
      </c>
      <c r="O129" s="2" t="s">
        <v>2747</v>
      </c>
      <c r="P129" s="2" t="s">
        <v>1469</v>
      </c>
    </row>
    <row r="130">
      <c r="A130" s="2">
        <v>232</v>
      </c>
      <c r="B130" s="2" t="s">
        <v>41</v>
      </c>
      <c r="C130" s="2" t="s">
        <v>1333</v>
      </c>
      <c r="D130" s="2" t="s">
        <v>2719</v>
      </c>
      <c r="E130" s="2" t="s">
        <v>72</v>
      </c>
      <c r="F130" s="2">
        <v>0</v>
      </c>
      <c r="G130" s="2">
        <v>2</v>
      </c>
      <c r="H130" s="2">
        <v>0</v>
      </c>
      <c r="I130" s="2">
        <v>2</v>
      </c>
      <c r="J130" s="2">
        <v>2</v>
      </c>
      <c r="K130" s="2">
        <f t="shared" si="3"/>
        <v>6</v>
      </c>
      <c r="L130" s="2" t="s">
        <v>25</v>
      </c>
      <c r="M130" s="2" t="s">
        <v>1572</v>
      </c>
      <c r="N130" s="2" t="s">
        <v>2746</v>
      </c>
      <c r="O130" s="2" t="s">
        <v>2747</v>
      </c>
      <c r="P130" s="2" t="s">
        <v>1336</v>
      </c>
    </row>
    <row r="131">
      <c r="A131" s="2">
        <v>199</v>
      </c>
      <c r="B131" s="2" t="s">
        <v>56</v>
      </c>
      <c r="C131" s="2" t="s">
        <v>1163</v>
      </c>
      <c r="D131" s="2" t="s">
        <v>2719</v>
      </c>
      <c r="E131" s="2" t="s">
        <v>72</v>
      </c>
      <c r="F131" s="2">
        <v>2</v>
      </c>
      <c r="G131" s="2">
        <v>1</v>
      </c>
      <c r="H131" s="2">
        <v>1</v>
      </c>
      <c r="I131" s="2">
        <v>1</v>
      </c>
      <c r="J131" s="2">
        <v>1</v>
      </c>
      <c r="K131" s="2">
        <f t="shared" si="3"/>
        <v>6</v>
      </c>
      <c r="L131" s="2" t="s">
        <v>25</v>
      </c>
      <c r="M131" s="2" t="s">
        <v>1572</v>
      </c>
      <c r="N131" s="2" t="s">
        <v>2746</v>
      </c>
      <c r="O131" s="2" t="s">
        <v>2747</v>
      </c>
      <c r="P131" s="2" t="s">
        <v>1167</v>
      </c>
    </row>
    <row r="132">
      <c r="A132" s="2">
        <v>97</v>
      </c>
      <c r="B132" s="2" t="s">
        <v>239</v>
      </c>
      <c r="C132" s="2" t="s">
        <v>601</v>
      </c>
      <c r="D132" s="2" t="s">
        <v>2724</v>
      </c>
      <c r="E132" s="2" t="s">
        <v>26</v>
      </c>
      <c r="F132" s="2">
        <v>2</v>
      </c>
      <c r="G132" s="2">
        <v>2</v>
      </c>
      <c r="H132" s="2">
        <v>1</v>
      </c>
      <c r="I132" s="2">
        <v>0</v>
      </c>
      <c r="J132" s="2">
        <v>1</v>
      </c>
      <c r="K132" s="2">
        <f t="shared" si="3"/>
        <v>6</v>
      </c>
      <c r="L132" s="2" t="s">
        <v>25</v>
      </c>
      <c r="M132" s="2" t="s">
        <v>1572</v>
      </c>
      <c r="N132" s="2" t="s">
        <v>2746</v>
      </c>
      <c r="O132" s="2" t="s">
        <v>2747</v>
      </c>
      <c r="P132" s="2" t="s">
        <v>602</v>
      </c>
    </row>
    <row r="133">
      <c r="A133" s="2">
        <v>94</v>
      </c>
      <c r="B133" s="2" t="s">
        <v>239</v>
      </c>
      <c r="C133" s="2" t="s">
        <v>585</v>
      </c>
      <c r="D133" s="2" t="s">
        <v>2724</v>
      </c>
      <c r="E133" s="2" t="s">
        <v>26</v>
      </c>
      <c r="F133" s="2">
        <v>2</v>
      </c>
      <c r="G133" s="2">
        <v>2</v>
      </c>
      <c r="H133" s="2">
        <v>1</v>
      </c>
      <c r="I133" s="2">
        <v>0</v>
      </c>
      <c r="J133" s="2">
        <v>1</v>
      </c>
      <c r="K133" s="2">
        <f t="shared" si="3"/>
        <v>6</v>
      </c>
      <c r="L133" s="2" t="s">
        <v>25</v>
      </c>
      <c r="M133" s="2" t="s">
        <v>1572</v>
      </c>
      <c r="N133" s="2" t="s">
        <v>2746</v>
      </c>
      <c r="O133" s="2" t="s">
        <v>2747</v>
      </c>
      <c r="P133" s="2" t="s">
        <v>587</v>
      </c>
    </row>
    <row r="134">
      <c r="A134" s="2">
        <v>69</v>
      </c>
      <c r="B134" s="2" t="s">
        <v>110</v>
      </c>
      <c r="C134" s="2" t="s">
        <v>457</v>
      </c>
      <c r="D134" s="2" t="s">
        <v>2724</v>
      </c>
      <c r="E134" s="2" t="s">
        <v>26</v>
      </c>
      <c r="F134" s="2">
        <v>2</v>
      </c>
      <c r="G134" s="2">
        <v>1</v>
      </c>
      <c r="H134" s="2">
        <v>1</v>
      </c>
      <c r="I134" s="2">
        <v>1</v>
      </c>
      <c r="J134" s="2">
        <v>1</v>
      </c>
      <c r="K134" s="2">
        <f t="shared" si="3"/>
        <v>6</v>
      </c>
      <c r="L134" s="2" t="s">
        <v>25</v>
      </c>
      <c r="M134" s="2" t="s">
        <v>1572</v>
      </c>
      <c r="N134" s="2" t="s">
        <v>2746</v>
      </c>
      <c r="O134" s="2" t="s">
        <v>2747</v>
      </c>
      <c r="P134" s="2" t="s">
        <v>461</v>
      </c>
    </row>
    <row r="135">
      <c r="A135" s="2">
        <v>136</v>
      </c>
      <c r="B135" s="2" t="s">
        <v>41</v>
      </c>
      <c r="C135" s="2" t="s">
        <v>818</v>
      </c>
      <c r="D135" s="2" t="s">
        <v>2724</v>
      </c>
      <c r="E135" s="2" t="s">
        <v>26</v>
      </c>
      <c r="F135" s="2">
        <v>2</v>
      </c>
      <c r="G135" s="2">
        <v>2</v>
      </c>
      <c r="H135" s="2">
        <v>1</v>
      </c>
      <c r="I135" s="2">
        <v>0</v>
      </c>
      <c r="J135" s="2">
        <v>1</v>
      </c>
      <c r="K135" s="2">
        <f t="shared" si="3"/>
        <v>6</v>
      </c>
      <c r="L135" s="2" t="s">
        <v>25</v>
      </c>
      <c r="M135" s="2" t="s">
        <v>1572</v>
      </c>
      <c r="N135" s="2" t="s">
        <v>2746</v>
      </c>
      <c r="O135" s="2" t="s">
        <v>2747</v>
      </c>
      <c r="P135" s="2" t="s">
        <v>821</v>
      </c>
    </row>
    <row r="136">
      <c r="A136" s="2">
        <v>151</v>
      </c>
      <c r="B136" s="2" t="s">
        <v>82</v>
      </c>
      <c r="C136" s="2" t="s">
        <v>892</v>
      </c>
      <c r="D136" s="2" t="s">
        <v>2724</v>
      </c>
      <c r="E136" s="2" t="s">
        <v>26</v>
      </c>
      <c r="F136" s="2">
        <v>2</v>
      </c>
      <c r="G136" s="2">
        <v>2</v>
      </c>
      <c r="H136" s="2">
        <v>1</v>
      </c>
      <c r="I136" s="2">
        <v>0</v>
      </c>
      <c r="J136" s="2">
        <v>1</v>
      </c>
      <c r="K136" s="2">
        <f t="shared" si="3"/>
        <v>6</v>
      </c>
      <c r="L136" s="2" t="s">
        <v>25</v>
      </c>
      <c r="M136" s="2" t="s">
        <v>1572</v>
      </c>
      <c r="N136" s="2" t="s">
        <v>2746</v>
      </c>
      <c r="O136" s="2" t="s">
        <v>2747</v>
      </c>
      <c r="P136" s="2" t="s">
        <v>894</v>
      </c>
    </row>
    <row r="137">
      <c r="A137" s="2">
        <v>11</v>
      </c>
      <c r="B137" s="2" t="s">
        <v>110</v>
      </c>
      <c r="C137" s="2" t="s">
        <v>124</v>
      </c>
      <c r="D137" s="2" t="s">
        <v>2724</v>
      </c>
      <c r="E137" s="2" t="s">
        <v>26</v>
      </c>
      <c r="F137" s="2">
        <v>2</v>
      </c>
      <c r="G137" s="2">
        <v>1</v>
      </c>
      <c r="H137" s="2">
        <v>1</v>
      </c>
      <c r="I137" s="2">
        <v>1</v>
      </c>
      <c r="J137" s="2">
        <v>1</v>
      </c>
      <c r="K137" s="2">
        <f t="shared" si="3"/>
        <v>6</v>
      </c>
      <c r="L137" s="2" t="s">
        <v>25</v>
      </c>
      <c r="M137" s="2" t="s">
        <v>1572</v>
      </c>
      <c r="N137" s="2" t="s">
        <v>2746</v>
      </c>
      <c r="O137" s="2" t="s">
        <v>2747</v>
      </c>
      <c r="P137" s="2" t="s">
        <v>129</v>
      </c>
    </row>
    <row r="138">
      <c r="A138" s="2">
        <v>111</v>
      </c>
      <c r="B138" s="2" t="s">
        <v>56</v>
      </c>
      <c r="C138" s="2" t="s">
        <v>681</v>
      </c>
      <c r="D138" s="2" t="s">
        <v>2724</v>
      </c>
      <c r="E138" s="2" t="s">
        <v>26</v>
      </c>
      <c r="F138" s="2">
        <v>2</v>
      </c>
      <c r="G138" s="2">
        <v>2</v>
      </c>
      <c r="H138" s="2">
        <v>1</v>
      </c>
      <c r="I138" s="2">
        <v>0</v>
      </c>
      <c r="J138" s="2">
        <v>1</v>
      </c>
      <c r="K138" s="2">
        <f t="shared" si="3"/>
        <v>6</v>
      </c>
      <c r="L138" s="2" t="s">
        <v>25</v>
      </c>
      <c r="M138" s="2" t="s">
        <v>1572</v>
      </c>
      <c r="N138" s="2" t="s">
        <v>2746</v>
      </c>
      <c r="O138" s="2" t="s">
        <v>2747</v>
      </c>
      <c r="P138" s="2" t="s">
        <v>682</v>
      </c>
    </row>
    <row r="139">
      <c r="A139" s="2">
        <v>132</v>
      </c>
      <c r="B139" s="2" t="s">
        <v>131</v>
      </c>
      <c r="C139" s="2" t="s">
        <v>797</v>
      </c>
      <c r="D139" s="2" t="s">
        <v>2724</v>
      </c>
      <c r="E139" s="2" t="s">
        <v>26</v>
      </c>
      <c r="F139" s="2">
        <v>2</v>
      </c>
      <c r="G139" s="2">
        <v>2</v>
      </c>
      <c r="H139" s="2">
        <v>1</v>
      </c>
      <c r="I139" s="2">
        <v>0</v>
      </c>
      <c r="J139" s="2">
        <v>1</v>
      </c>
      <c r="K139" s="2">
        <f t="shared" si="3"/>
        <v>6</v>
      </c>
      <c r="L139" s="2" t="s">
        <v>25</v>
      </c>
      <c r="M139" s="2" t="s">
        <v>1572</v>
      </c>
      <c r="N139" s="2" t="s">
        <v>2746</v>
      </c>
      <c r="O139" s="2" t="s">
        <v>2747</v>
      </c>
      <c r="P139" s="2" t="s">
        <v>800</v>
      </c>
    </row>
    <row r="140">
      <c r="A140" s="2">
        <v>125</v>
      </c>
      <c r="B140" s="2" t="s">
        <v>131</v>
      </c>
      <c r="C140" s="2" t="s">
        <v>763</v>
      </c>
      <c r="D140" s="2" t="s">
        <v>2724</v>
      </c>
      <c r="E140" s="2" t="s">
        <v>26</v>
      </c>
      <c r="F140" s="2">
        <v>2</v>
      </c>
      <c r="G140" s="2">
        <v>2</v>
      </c>
      <c r="H140" s="2">
        <v>1</v>
      </c>
      <c r="I140" s="2">
        <v>0</v>
      </c>
      <c r="J140" s="2">
        <v>1</v>
      </c>
      <c r="K140" s="2">
        <f t="shared" si="3"/>
        <v>6</v>
      </c>
      <c r="L140" s="2" t="s">
        <v>25</v>
      </c>
      <c r="M140" s="2" t="s">
        <v>1572</v>
      </c>
      <c r="N140" s="2" t="s">
        <v>2746</v>
      </c>
      <c r="O140" s="2" t="s">
        <v>2747</v>
      </c>
      <c r="P140" s="2" t="s">
        <v>765</v>
      </c>
    </row>
    <row r="141">
      <c r="A141" s="2">
        <v>38</v>
      </c>
      <c r="B141" s="2" t="s">
        <v>41</v>
      </c>
      <c r="C141" s="2" t="s">
        <v>298</v>
      </c>
      <c r="D141" s="2" t="s">
        <v>2729</v>
      </c>
      <c r="E141" s="2" t="s">
        <v>72</v>
      </c>
      <c r="F141" s="2">
        <v>2</v>
      </c>
      <c r="G141" s="2">
        <v>0</v>
      </c>
      <c r="H141" s="2">
        <v>2</v>
      </c>
      <c r="I141" s="2">
        <v>0</v>
      </c>
      <c r="J141" s="2">
        <v>1</v>
      </c>
      <c r="K141" s="2">
        <f t="shared" si="3"/>
        <v>5</v>
      </c>
      <c r="L141" s="2" t="s">
        <v>25</v>
      </c>
      <c r="M141" s="2" t="s">
        <v>1572</v>
      </c>
      <c r="N141" s="2" t="s">
        <v>2746</v>
      </c>
      <c r="O141" s="2" t="s">
        <v>2747</v>
      </c>
      <c r="P141" s="2" t="s">
        <v>299</v>
      </c>
    </row>
    <row r="142">
      <c r="A142" s="2">
        <v>37</v>
      </c>
      <c r="B142" s="2" t="s">
        <v>117</v>
      </c>
      <c r="C142" s="2" t="s">
        <v>294</v>
      </c>
      <c r="D142" s="2" t="s">
        <v>2729</v>
      </c>
      <c r="E142" s="2" t="s">
        <v>72</v>
      </c>
      <c r="F142" s="2">
        <v>2</v>
      </c>
      <c r="G142" s="2">
        <v>0</v>
      </c>
      <c r="H142" s="2">
        <v>2</v>
      </c>
      <c r="I142" s="2">
        <v>0</v>
      </c>
      <c r="J142" s="2">
        <v>1</v>
      </c>
      <c r="K142" s="2">
        <f t="shared" si="3"/>
        <v>5</v>
      </c>
      <c r="L142" s="2" t="s">
        <v>25</v>
      </c>
      <c r="M142" s="2" t="s">
        <v>1572</v>
      </c>
      <c r="N142" s="2" t="s">
        <v>2746</v>
      </c>
      <c r="O142" s="2" t="s">
        <v>2747</v>
      </c>
      <c r="P142" s="2" t="s">
        <v>296</v>
      </c>
    </row>
    <row r="143">
      <c r="A143" s="2">
        <v>20</v>
      </c>
      <c r="B143" s="2" t="s">
        <v>192</v>
      </c>
      <c r="C143" s="2" t="s">
        <v>193</v>
      </c>
      <c r="D143" s="2" t="s">
        <v>2729</v>
      </c>
      <c r="E143" s="2" t="s">
        <v>72</v>
      </c>
      <c r="F143" s="2">
        <v>2</v>
      </c>
      <c r="G143" s="2">
        <v>0</v>
      </c>
      <c r="H143" s="2">
        <v>2</v>
      </c>
      <c r="I143" s="2">
        <v>0</v>
      </c>
      <c r="J143" s="2">
        <v>1</v>
      </c>
      <c r="K143" s="2">
        <f t="shared" si="3"/>
        <v>5</v>
      </c>
      <c r="L143" s="2" t="s">
        <v>25</v>
      </c>
      <c r="M143" s="2" t="s">
        <v>1572</v>
      </c>
      <c r="N143" s="2" t="s">
        <v>2746</v>
      </c>
      <c r="O143" s="2" t="s">
        <v>2747</v>
      </c>
      <c r="P143" s="2" t="s">
        <v>195</v>
      </c>
    </row>
    <row r="144">
      <c r="A144" s="2">
        <v>70</v>
      </c>
      <c r="B144" s="2" t="s">
        <v>239</v>
      </c>
      <c r="C144" s="2" t="s">
        <v>463</v>
      </c>
      <c r="D144" s="2" t="s">
        <v>2729</v>
      </c>
      <c r="E144" s="2" t="s">
        <v>72</v>
      </c>
      <c r="F144" s="2">
        <v>2</v>
      </c>
      <c r="G144" s="2">
        <v>1</v>
      </c>
      <c r="H144" s="2">
        <v>1</v>
      </c>
      <c r="I144" s="2">
        <v>0</v>
      </c>
      <c r="J144" s="2">
        <v>1</v>
      </c>
      <c r="K144" s="2">
        <f t="shared" si="3"/>
        <v>5</v>
      </c>
      <c r="L144" s="2" t="s">
        <v>25</v>
      </c>
      <c r="M144" s="2" t="s">
        <v>1572</v>
      </c>
      <c r="N144" s="2" t="s">
        <v>2746</v>
      </c>
      <c r="O144" s="2" t="s">
        <v>2747</v>
      </c>
      <c r="P144" s="2" t="s">
        <v>465</v>
      </c>
    </row>
    <row r="145">
      <c r="A145" s="2">
        <v>62</v>
      </c>
      <c r="B145" s="2" t="s">
        <v>117</v>
      </c>
      <c r="C145" s="2" t="s">
        <v>421</v>
      </c>
      <c r="D145" s="2" t="s">
        <v>2729</v>
      </c>
      <c r="E145" s="2" t="s">
        <v>72</v>
      </c>
      <c r="F145" s="2">
        <v>2</v>
      </c>
      <c r="G145" s="2">
        <v>1</v>
      </c>
      <c r="H145" s="2">
        <v>1</v>
      </c>
      <c r="I145" s="2">
        <v>0</v>
      </c>
      <c r="J145" s="2">
        <v>1</v>
      </c>
      <c r="K145" s="2">
        <f t="shared" si="3"/>
        <v>5</v>
      </c>
      <c r="L145" s="2" t="s">
        <v>25</v>
      </c>
      <c r="M145" s="2" t="s">
        <v>1572</v>
      </c>
      <c r="N145" s="2" t="s">
        <v>2746</v>
      </c>
      <c r="O145" s="2" t="s">
        <v>2747</v>
      </c>
      <c r="P145" s="2" t="s">
        <v>423</v>
      </c>
    </row>
    <row r="146">
      <c r="A146" s="2">
        <v>235</v>
      </c>
      <c r="B146" s="2" t="s">
        <v>41</v>
      </c>
      <c r="C146" s="2" t="s">
        <v>1347</v>
      </c>
      <c r="D146" s="2" t="s">
        <v>2719</v>
      </c>
      <c r="E146" s="2" t="s">
        <v>72</v>
      </c>
      <c r="F146" s="2">
        <v>0</v>
      </c>
      <c r="G146" s="2">
        <v>2</v>
      </c>
      <c r="H146" s="2">
        <v>0</v>
      </c>
      <c r="I146" s="2">
        <v>1</v>
      </c>
      <c r="J146" s="2">
        <v>2</v>
      </c>
      <c r="K146" s="2">
        <f t="shared" si="3"/>
        <v>5</v>
      </c>
      <c r="L146" s="2" t="s">
        <v>25</v>
      </c>
      <c r="M146" s="2" t="s">
        <v>1572</v>
      </c>
      <c r="N146" s="2" t="s">
        <v>2746</v>
      </c>
      <c r="O146" s="2" t="s">
        <v>2747</v>
      </c>
      <c r="P146" s="2" t="s">
        <v>1350</v>
      </c>
    </row>
    <row r="147">
      <c r="A147" s="2">
        <v>244</v>
      </c>
      <c r="B147" s="2" t="s">
        <v>82</v>
      </c>
      <c r="C147" s="2" t="s">
        <v>1397</v>
      </c>
      <c r="D147" s="2" t="s">
        <v>2719</v>
      </c>
      <c r="E147" s="2" t="s">
        <v>26</v>
      </c>
      <c r="F147" s="2">
        <v>1</v>
      </c>
      <c r="G147" s="2">
        <v>2</v>
      </c>
      <c r="H147" s="2">
        <v>0</v>
      </c>
      <c r="I147" s="2">
        <v>1</v>
      </c>
      <c r="J147" s="2">
        <v>1</v>
      </c>
      <c r="K147" s="2">
        <f t="shared" si="3"/>
        <v>5</v>
      </c>
      <c r="L147" s="2" t="s">
        <v>25</v>
      </c>
      <c r="M147" s="2" t="s">
        <v>1572</v>
      </c>
      <c r="N147" s="2" t="s">
        <v>2746</v>
      </c>
      <c r="O147" s="2" t="s">
        <v>2747</v>
      </c>
      <c r="P147" s="2" t="s">
        <v>1403</v>
      </c>
    </row>
    <row r="148">
      <c r="A148" s="2">
        <v>173</v>
      </c>
      <c r="B148" s="2" t="s">
        <v>82</v>
      </c>
      <c r="C148" s="2" t="s">
        <v>1017</v>
      </c>
      <c r="D148" s="2" t="s">
        <v>2719</v>
      </c>
      <c r="E148" s="2" t="s">
        <v>72</v>
      </c>
      <c r="F148" s="2">
        <v>0</v>
      </c>
      <c r="G148" s="2">
        <v>2</v>
      </c>
      <c r="H148" s="2">
        <v>0</v>
      </c>
      <c r="I148" s="2">
        <v>1</v>
      </c>
      <c r="J148" s="2">
        <v>2</v>
      </c>
      <c r="K148" s="2">
        <f t="shared" si="3"/>
        <v>5</v>
      </c>
      <c r="L148" s="2" t="s">
        <v>25</v>
      </c>
      <c r="M148" s="2" t="s">
        <v>1572</v>
      </c>
      <c r="N148" s="2" t="s">
        <v>2746</v>
      </c>
      <c r="O148" s="2" t="s">
        <v>2747</v>
      </c>
      <c r="P148" s="2" t="s">
        <v>1020</v>
      </c>
    </row>
    <row r="149">
      <c r="A149" s="2">
        <v>213</v>
      </c>
      <c r="B149" s="2" t="s">
        <v>56</v>
      </c>
      <c r="C149" s="2" t="s">
        <v>1237</v>
      </c>
      <c r="D149" s="2" t="s">
        <v>2719</v>
      </c>
      <c r="E149" s="2" t="s">
        <v>72</v>
      </c>
      <c r="F149" s="2">
        <v>0</v>
      </c>
      <c r="G149" s="2">
        <v>2</v>
      </c>
      <c r="H149" s="2">
        <v>0</v>
      </c>
      <c r="I149" s="2">
        <v>1</v>
      </c>
      <c r="J149" s="2">
        <v>2</v>
      </c>
      <c r="K149" s="2">
        <f t="shared" si="3"/>
        <v>5</v>
      </c>
      <c r="L149" s="2" t="s">
        <v>25</v>
      </c>
      <c r="M149" s="2" t="s">
        <v>1572</v>
      </c>
      <c r="N149" s="2" t="s">
        <v>2746</v>
      </c>
      <c r="O149" s="2" t="s">
        <v>2747</v>
      </c>
      <c r="P149" s="2" t="s">
        <v>1241</v>
      </c>
    </row>
    <row r="150">
      <c r="A150" s="2">
        <v>214</v>
      </c>
      <c r="B150" s="2" t="s">
        <v>56</v>
      </c>
      <c r="C150" s="2" t="s">
        <v>1243</v>
      </c>
      <c r="D150" s="2" t="s">
        <v>2719</v>
      </c>
      <c r="E150" s="2" t="s">
        <v>72</v>
      </c>
      <c r="F150" s="2">
        <v>0</v>
      </c>
      <c r="G150" s="2">
        <v>2</v>
      </c>
      <c r="H150" s="2">
        <v>0</v>
      </c>
      <c r="I150" s="2">
        <v>1</v>
      </c>
      <c r="J150" s="2">
        <v>2</v>
      </c>
      <c r="K150" s="2">
        <f t="shared" si="3"/>
        <v>5</v>
      </c>
      <c r="L150" s="2" t="s">
        <v>25</v>
      </c>
      <c r="M150" s="2" t="s">
        <v>1572</v>
      </c>
      <c r="N150" s="2" t="s">
        <v>2746</v>
      </c>
      <c r="O150" s="2" t="s">
        <v>2747</v>
      </c>
      <c r="P150" s="2" t="s">
        <v>1246</v>
      </c>
    </row>
    <row r="151">
      <c r="A151" s="2">
        <v>203</v>
      </c>
      <c r="B151" s="2" t="s">
        <v>41</v>
      </c>
      <c r="C151" s="2" t="s">
        <v>1185</v>
      </c>
      <c r="D151" s="2" t="s">
        <v>2719</v>
      </c>
      <c r="E151" s="2" t="s">
        <v>26</v>
      </c>
      <c r="F151" s="2">
        <v>0</v>
      </c>
      <c r="G151" s="2">
        <v>2</v>
      </c>
      <c r="H151" s="2">
        <v>0</v>
      </c>
      <c r="I151" s="2">
        <v>1</v>
      </c>
      <c r="J151" s="2">
        <v>2</v>
      </c>
      <c r="K151" s="2">
        <f t="shared" si="3"/>
        <v>5</v>
      </c>
      <c r="L151" s="2" t="s">
        <v>25</v>
      </c>
      <c r="M151" s="2" t="s">
        <v>1572</v>
      </c>
      <c r="N151" s="2" t="s">
        <v>2746</v>
      </c>
      <c r="O151" s="2" t="s">
        <v>2747</v>
      </c>
      <c r="P151" s="2" t="s">
        <v>1188</v>
      </c>
    </row>
    <row r="152">
      <c r="A152" s="2">
        <v>227</v>
      </c>
      <c r="B152" s="2" t="s">
        <v>117</v>
      </c>
      <c r="C152" s="2" t="s">
        <v>1309</v>
      </c>
      <c r="D152" s="2" t="s">
        <v>2719</v>
      </c>
      <c r="E152" s="2" t="s">
        <v>26</v>
      </c>
      <c r="F152" s="2">
        <v>0</v>
      </c>
      <c r="G152" s="2">
        <v>2</v>
      </c>
      <c r="H152" s="2">
        <v>0</v>
      </c>
      <c r="I152" s="2">
        <v>1</v>
      </c>
      <c r="J152" s="2">
        <v>2</v>
      </c>
      <c r="K152" s="2">
        <f t="shared" si="3"/>
        <v>5</v>
      </c>
      <c r="L152" s="2" t="s">
        <v>25</v>
      </c>
      <c r="M152" s="2" t="s">
        <v>1572</v>
      </c>
      <c r="N152" s="2" t="s">
        <v>2746</v>
      </c>
      <c r="O152" s="2" t="s">
        <v>2747</v>
      </c>
      <c r="P152" s="2" t="s">
        <v>1313</v>
      </c>
    </row>
    <row r="153">
      <c r="A153" s="2">
        <v>224</v>
      </c>
      <c r="B153" s="2" t="s">
        <v>56</v>
      </c>
      <c r="C153" s="2" t="s">
        <v>1294</v>
      </c>
      <c r="D153" s="2" t="s">
        <v>2719</v>
      </c>
      <c r="E153" s="2" t="s">
        <v>72</v>
      </c>
      <c r="F153" s="2">
        <v>0</v>
      </c>
      <c r="G153" s="2">
        <v>2</v>
      </c>
      <c r="H153" s="2">
        <v>0</v>
      </c>
      <c r="I153" s="2">
        <v>1</v>
      </c>
      <c r="J153" s="2">
        <v>2</v>
      </c>
      <c r="K153" s="2">
        <f t="shared" si="3"/>
        <v>5</v>
      </c>
      <c r="L153" s="2" t="s">
        <v>25</v>
      </c>
      <c r="M153" s="2" t="s">
        <v>1572</v>
      </c>
      <c r="N153" s="2" t="s">
        <v>2746</v>
      </c>
      <c r="O153" s="2" t="s">
        <v>2747</v>
      </c>
      <c r="P153" s="2" t="s">
        <v>1298</v>
      </c>
    </row>
    <row r="154">
      <c r="A154" s="2">
        <v>204</v>
      </c>
      <c r="B154" s="2" t="s">
        <v>117</v>
      </c>
      <c r="C154" s="2" t="s">
        <v>1190</v>
      </c>
      <c r="D154" s="2" t="s">
        <v>2719</v>
      </c>
      <c r="E154" s="2" t="s">
        <v>72</v>
      </c>
      <c r="F154" s="2">
        <v>0</v>
      </c>
      <c r="G154" s="2">
        <v>2</v>
      </c>
      <c r="H154" s="2">
        <v>0</v>
      </c>
      <c r="I154" s="2">
        <v>1</v>
      </c>
      <c r="J154" s="2">
        <v>2</v>
      </c>
      <c r="K154" s="2">
        <f t="shared" si="3"/>
        <v>5</v>
      </c>
      <c r="L154" s="2" t="s">
        <v>25</v>
      </c>
      <c r="M154" s="2" t="s">
        <v>1572</v>
      </c>
      <c r="N154" s="2" t="s">
        <v>2746</v>
      </c>
      <c r="O154" s="2" t="s">
        <v>2747</v>
      </c>
      <c r="P154" s="2" t="s">
        <v>1194</v>
      </c>
    </row>
    <row r="155">
      <c r="A155" s="2">
        <v>262</v>
      </c>
      <c r="B155" s="2" t="s">
        <v>82</v>
      </c>
      <c r="C155" s="2" t="s">
        <v>1491</v>
      </c>
      <c r="D155" s="2" t="s">
        <v>2719</v>
      </c>
      <c r="E155" s="2" t="s">
        <v>72</v>
      </c>
      <c r="F155" s="2">
        <v>1</v>
      </c>
      <c r="G155" s="2">
        <v>1</v>
      </c>
      <c r="H155" s="2">
        <v>1</v>
      </c>
      <c r="I155" s="2">
        <v>1</v>
      </c>
      <c r="J155" s="2">
        <v>1</v>
      </c>
      <c r="K155" s="2">
        <f t="shared" si="3"/>
        <v>5</v>
      </c>
      <c r="L155" s="2" t="s">
        <v>25</v>
      </c>
      <c r="M155" s="2" t="s">
        <v>1572</v>
      </c>
      <c r="N155" s="2" t="s">
        <v>2746</v>
      </c>
      <c r="O155" s="2" t="s">
        <v>2747</v>
      </c>
      <c r="P155" s="2" t="s">
        <v>1495</v>
      </c>
    </row>
    <row r="156">
      <c r="A156" s="2">
        <v>200</v>
      </c>
      <c r="B156" s="2" t="s">
        <v>117</v>
      </c>
      <c r="C156" s="2" t="s">
        <v>1169</v>
      </c>
      <c r="D156" s="2" t="s">
        <v>2719</v>
      </c>
      <c r="E156" s="2" t="s">
        <v>72</v>
      </c>
      <c r="F156" s="2">
        <v>1</v>
      </c>
      <c r="G156" s="2">
        <v>1</v>
      </c>
      <c r="H156" s="2">
        <v>1</v>
      </c>
      <c r="I156" s="2">
        <v>1</v>
      </c>
      <c r="J156" s="2">
        <v>1</v>
      </c>
      <c r="K156" s="2">
        <f t="shared" si="3"/>
        <v>5</v>
      </c>
      <c r="L156" s="2" t="s">
        <v>25</v>
      </c>
      <c r="M156" s="2" t="s">
        <v>1572</v>
      </c>
      <c r="N156" s="2" t="s">
        <v>2746</v>
      </c>
      <c r="O156" s="2" t="s">
        <v>2747</v>
      </c>
      <c r="P156" s="2" t="s">
        <v>1173</v>
      </c>
    </row>
    <row r="157">
      <c r="A157" s="2">
        <v>248</v>
      </c>
      <c r="B157" s="2" t="s">
        <v>117</v>
      </c>
      <c r="C157" s="2" t="s">
        <v>1421</v>
      </c>
      <c r="D157" s="2" t="s">
        <v>2719</v>
      </c>
      <c r="E157" s="2" t="s">
        <v>26</v>
      </c>
      <c r="F157" s="2">
        <v>1</v>
      </c>
      <c r="G157" s="2">
        <v>2</v>
      </c>
      <c r="H157" s="2">
        <v>0</v>
      </c>
      <c r="I157" s="2">
        <v>1</v>
      </c>
      <c r="J157" s="2">
        <v>1</v>
      </c>
      <c r="K157" s="2">
        <f t="shared" si="3"/>
        <v>5</v>
      </c>
      <c r="L157" s="2" t="s">
        <v>25</v>
      </c>
      <c r="M157" s="2" t="s">
        <v>1572</v>
      </c>
      <c r="N157" s="2" t="s">
        <v>2746</v>
      </c>
      <c r="O157" s="2" t="s">
        <v>2747</v>
      </c>
      <c r="P157" s="2" t="s">
        <v>1424</v>
      </c>
    </row>
    <row r="158">
      <c r="A158" s="2">
        <v>237</v>
      </c>
      <c r="B158" s="2" t="s">
        <v>41</v>
      </c>
      <c r="C158" s="2" t="s">
        <v>1358</v>
      </c>
      <c r="D158" s="2" t="s">
        <v>2719</v>
      </c>
      <c r="E158" s="2" t="s">
        <v>72</v>
      </c>
      <c r="F158" s="2">
        <v>0</v>
      </c>
      <c r="G158" s="2">
        <v>2</v>
      </c>
      <c r="H158" s="2">
        <v>0</v>
      </c>
      <c r="I158" s="2">
        <v>1</v>
      </c>
      <c r="J158" s="2">
        <v>2</v>
      </c>
      <c r="K158" s="2">
        <f t="shared" si="3"/>
        <v>5</v>
      </c>
      <c r="L158" s="2" t="s">
        <v>25</v>
      </c>
      <c r="M158" s="2" t="s">
        <v>1572</v>
      </c>
      <c r="N158" s="2" t="s">
        <v>2746</v>
      </c>
      <c r="O158" s="2" t="s">
        <v>2747</v>
      </c>
      <c r="P158" s="2" t="s">
        <v>1362</v>
      </c>
    </row>
    <row r="159">
      <c r="A159" s="2">
        <v>236</v>
      </c>
      <c r="B159" s="2" t="s">
        <v>117</v>
      </c>
      <c r="C159" s="2" t="s">
        <v>1352</v>
      </c>
      <c r="D159" s="2" t="s">
        <v>2719</v>
      </c>
      <c r="E159" s="2" t="s">
        <v>72</v>
      </c>
      <c r="F159" s="2">
        <v>0</v>
      </c>
      <c r="G159" s="2">
        <v>2</v>
      </c>
      <c r="H159" s="2">
        <v>0</v>
      </c>
      <c r="I159" s="2">
        <v>2</v>
      </c>
      <c r="J159" s="2">
        <v>1</v>
      </c>
      <c r="K159" s="2">
        <f t="shared" si="3"/>
        <v>5</v>
      </c>
      <c r="L159" s="2" t="s">
        <v>25</v>
      </c>
      <c r="M159" s="2" t="s">
        <v>1572</v>
      </c>
      <c r="N159" s="2" t="s">
        <v>2746</v>
      </c>
      <c r="O159" s="2" t="s">
        <v>2747</v>
      </c>
      <c r="P159" s="2" t="s">
        <v>1356</v>
      </c>
    </row>
    <row r="160">
      <c r="A160" s="2">
        <v>243</v>
      </c>
      <c r="B160" s="2" t="s">
        <v>239</v>
      </c>
      <c r="C160" s="2" t="s">
        <v>1391</v>
      </c>
      <c r="D160" s="2" t="s">
        <v>2719</v>
      </c>
      <c r="E160" s="2" t="s">
        <v>72</v>
      </c>
      <c r="F160" s="2">
        <v>0</v>
      </c>
      <c r="G160" s="2">
        <v>2</v>
      </c>
      <c r="H160" s="2">
        <v>0</v>
      </c>
      <c r="I160" s="2">
        <v>1</v>
      </c>
      <c r="J160" s="2">
        <v>2</v>
      </c>
      <c r="K160" s="2">
        <f t="shared" si="3"/>
        <v>5</v>
      </c>
      <c r="L160" s="2" t="s">
        <v>25</v>
      </c>
      <c r="M160" s="2" t="s">
        <v>1572</v>
      </c>
      <c r="N160" s="2" t="s">
        <v>2746</v>
      </c>
      <c r="O160" s="2" t="s">
        <v>2747</v>
      </c>
      <c r="P160" s="2" t="s">
        <v>1395</v>
      </c>
    </row>
    <row r="161">
      <c r="A161" s="2">
        <v>183</v>
      </c>
      <c r="B161" s="2" t="s">
        <v>82</v>
      </c>
      <c r="C161" s="2" t="s">
        <v>1074</v>
      </c>
      <c r="D161" s="2" t="s">
        <v>2719</v>
      </c>
      <c r="E161" s="2" t="s">
        <v>26</v>
      </c>
      <c r="F161" s="2">
        <v>0</v>
      </c>
      <c r="G161" s="2">
        <v>2</v>
      </c>
      <c r="H161" s="2">
        <v>0</v>
      </c>
      <c r="I161" s="2">
        <v>1</v>
      </c>
      <c r="J161" s="2">
        <v>2</v>
      </c>
      <c r="K161" s="2">
        <f t="shared" si="3"/>
        <v>5</v>
      </c>
      <c r="L161" s="2" t="s">
        <v>25</v>
      </c>
      <c r="M161" s="2" t="s">
        <v>1572</v>
      </c>
      <c r="N161" s="2" t="s">
        <v>2746</v>
      </c>
      <c r="O161" s="2" t="s">
        <v>2747</v>
      </c>
      <c r="P161" s="2" t="s">
        <v>1079</v>
      </c>
    </row>
    <row r="162">
      <c r="A162" s="2">
        <v>206</v>
      </c>
      <c r="B162" s="2" t="s">
        <v>117</v>
      </c>
      <c r="C162" s="2" t="s">
        <v>1199</v>
      </c>
      <c r="D162" s="2" t="s">
        <v>2719</v>
      </c>
      <c r="E162" s="2" t="s">
        <v>72</v>
      </c>
      <c r="F162" s="2">
        <v>0</v>
      </c>
      <c r="G162" s="2">
        <v>2</v>
      </c>
      <c r="H162" s="2">
        <v>0</v>
      </c>
      <c r="I162" s="2">
        <v>1</v>
      </c>
      <c r="J162" s="2">
        <v>2</v>
      </c>
      <c r="K162" s="2">
        <f t="shared" si="3"/>
        <v>5</v>
      </c>
      <c r="L162" s="2" t="s">
        <v>25</v>
      </c>
      <c r="M162" s="2" t="s">
        <v>1572</v>
      </c>
      <c r="N162" s="2" t="s">
        <v>2746</v>
      </c>
      <c r="O162" s="2" t="s">
        <v>2747</v>
      </c>
      <c r="P162" s="2" t="s">
        <v>1203</v>
      </c>
    </row>
    <row r="163">
      <c r="A163" s="2">
        <v>261</v>
      </c>
      <c r="B163" s="2" t="s">
        <v>82</v>
      </c>
      <c r="C163" s="2" t="s">
        <v>1484</v>
      </c>
      <c r="D163" s="2" t="s">
        <v>2719</v>
      </c>
      <c r="E163" s="2" t="s">
        <v>26</v>
      </c>
      <c r="F163" s="2">
        <v>1</v>
      </c>
      <c r="G163" s="2">
        <v>2</v>
      </c>
      <c r="H163" s="2">
        <v>0</v>
      </c>
      <c r="I163" s="2">
        <v>1</v>
      </c>
      <c r="J163" s="2">
        <v>1</v>
      </c>
      <c r="K163" s="2">
        <f t="shared" si="3"/>
        <v>5</v>
      </c>
      <c r="L163" s="2" t="s">
        <v>25</v>
      </c>
      <c r="M163" s="2" t="s">
        <v>1572</v>
      </c>
      <c r="N163" s="2" t="s">
        <v>2746</v>
      </c>
      <c r="O163" s="2" t="s">
        <v>2747</v>
      </c>
      <c r="P163" s="2" t="s">
        <v>1489</v>
      </c>
    </row>
    <row r="164">
      <c r="A164" s="2">
        <v>256</v>
      </c>
      <c r="B164" s="2" t="s">
        <v>82</v>
      </c>
      <c r="C164" s="2" t="s">
        <v>1461</v>
      </c>
      <c r="D164" s="2" t="s">
        <v>2719</v>
      </c>
      <c r="E164" s="2" t="s">
        <v>72</v>
      </c>
      <c r="F164" s="2">
        <v>0</v>
      </c>
      <c r="G164" s="2">
        <v>2</v>
      </c>
      <c r="H164" s="2">
        <v>0</v>
      </c>
      <c r="I164" s="2">
        <v>1</v>
      </c>
      <c r="J164" s="2">
        <v>2</v>
      </c>
      <c r="K164" s="2">
        <f t="shared" ref="K164:K227" si="4">SUM(F164:J164)</f>
        <v>5</v>
      </c>
      <c r="L164" s="2" t="s">
        <v>25</v>
      </c>
      <c r="M164" s="2" t="s">
        <v>1572</v>
      </c>
      <c r="N164" s="2" t="s">
        <v>2746</v>
      </c>
      <c r="O164" s="2" t="s">
        <v>2747</v>
      </c>
      <c r="P164" s="2" t="s">
        <v>1464</v>
      </c>
    </row>
    <row r="165">
      <c r="A165" s="2">
        <v>192</v>
      </c>
      <c r="B165" s="2" t="s">
        <v>117</v>
      </c>
      <c r="C165" s="2" t="s">
        <v>1123</v>
      </c>
      <c r="D165" s="2" t="s">
        <v>2719</v>
      </c>
      <c r="E165" s="2" t="s">
        <v>72</v>
      </c>
      <c r="F165" s="2">
        <v>0</v>
      </c>
      <c r="G165" s="2">
        <v>2</v>
      </c>
      <c r="H165" s="2">
        <v>0</v>
      </c>
      <c r="I165" s="2">
        <v>1</v>
      </c>
      <c r="J165" s="2">
        <v>2</v>
      </c>
      <c r="K165" s="2">
        <f t="shared" si="4"/>
        <v>5</v>
      </c>
      <c r="L165" s="2" t="s">
        <v>25</v>
      </c>
      <c r="M165" s="2" t="s">
        <v>1572</v>
      </c>
      <c r="N165" s="2" t="s">
        <v>2746</v>
      </c>
      <c r="O165" s="2" t="s">
        <v>2747</v>
      </c>
      <c r="P165" s="2" t="s">
        <v>1127</v>
      </c>
    </row>
    <row r="166">
      <c r="A166" s="2">
        <v>242</v>
      </c>
      <c r="B166" s="2" t="s">
        <v>41</v>
      </c>
      <c r="C166" s="2" t="s">
        <v>1384</v>
      </c>
      <c r="D166" s="2" t="s">
        <v>2719</v>
      </c>
      <c r="E166" s="2" t="s">
        <v>72</v>
      </c>
      <c r="F166" s="2">
        <v>0</v>
      </c>
      <c r="G166" s="2">
        <v>2</v>
      </c>
      <c r="H166" s="2">
        <v>0</v>
      </c>
      <c r="I166" s="2">
        <v>1</v>
      </c>
      <c r="J166" s="2">
        <v>2</v>
      </c>
      <c r="K166" s="2">
        <f t="shared" si="4"/>
        <v>5</v>
      </c>
      <c r="L166" s="2" t="s">
        <v>25</v>
      </c>
      <c r="M166" s="2" t="s">
        <v>1572</v>
      </c>
      <c r="N166" s="2" t="s">
        <v>2746</v>
      </c>
      <c r="O166" s="2" t="s">
        <v>2747</v>
      </c>
      <c r="P166" s="2" t="s">
        <v>1389</v>
      </c>
    </row>
    <row r="167">
      <c r="A167" s="2">
        <v>233</v>
      </c>
      <c r="B167" s="2" t="s">
        <v>117</v>
      </c>
      <c r="C167" s="2" t="s">
        <v>1338</v>
      </c>
      <c r="D167" s="2" t="s">
        <v>2719</v>
      </c>
      <c r="E167" s="2" t="s">
        <v>72</v>
      </c>
      <c r="F167" s="2">
        <v>1</v>
      </c>
      <c r="G167" s="2">
        <v>1</v>
      </c>
      <c r="H167" s="2">
        <v>1</v>
      </c>
      <c r="I167" s="2">
        <v>1</v>
      </c>
      <c r="J167" s="2">
        <v>1</v>
      </c>
      <c r="K167" s="2">
        <f t="shared" si="4"/>
        <v>5</v>
      </c>
      <c r="L167" s="2" t="s">
        <v>25</v>
      </c>
      <c r="M167" s="2" t="s">
        <v>1572</v>
      </c>
      <c r="N167" s="2" t="s">
        <v>2746</v>
      </c>
      <c r="O167" s="2" t="s">
        <v>2747</v>
      </c>
      <c r="P167" s="2"/>
    </row>
    <row r="168">
      <c r="A168" s="2">
        <v>112</v>
      </c>
      <c r="B168" s="2" t="s">
        <v>41</v>
      </c>
      <c r="C168" s="2" t="s">
        <v>684</v>
      </c>
      <c r="D168" s="2" t="s">
        <v>2724</v>
      </c>
      <c r="E168" s="2" t="s">
        <v>26</v>
      </c>
      <c r="F168" s="2">
        <v>0</v>
      </c>
      <c r="G168" s="2">
        <v>2</v>
      </c>
      <c r="H168" s="2">
        <v>0</v>
      </c>
      <c r="I168" s="2">
        <v>2</v>
      </c>
      <c r="J168" s="2">
        <v>1</v>
      </c>
      <c r="K168" s="2">
        <f t="shared" si="4"/>
        <v>5</v>
      </c>
      <c r="L168" s="2" t="s">
        <v>25</v>
      </c>
      <c r="M168" s="2" t="s">
        <v>1572</v>
      </c>
      <c r="N168" s="2" t="s">
        <v>2746</v>
      </c>
      <c r="O168" s="2" t="s">
        <v>2747</v>
      </c>
      <c r="P168" s="2" t="s">
        <v>688</v>
      </c>
    </row>
    <row r="169">
      <c r="A169" s="2">
        <v>123</v>
      </c>
      <c r="B169" s="2" t="s">
        <v>192</v>
      </c>
      <c r="C169" s="2" t="s">
        <v>749</v>
      </c>
      <c r="D169" s="2" t="s">
        <v>2724</v>
      </c>
      <c r="E169" s="2" t="s">
        <v>26</v>
      </c>
      <c r="F169" s="2">
        <v>0</v>
      </c>
      <c r="G169" s="2">
        <v>2</v>
      </c>
      <c r="H169" s="2">
        <v>1</v>
      </c>
      <c r="I169" s="2">
        <v>1</v>
      </c>
      <c r="J169" s="2">
        <v>1</v>
      </c>
      <c r="K169" s="2">
        <f t="shared" si="4"/>
        <v>5</v>
      </c>
      <c r="L169" s="2" t="s">
        <v>25</v>
      </c>
      <c r="M169" s="2" t="s">
        <v>1572</v>
      </c>
      <c r="N169" s="2" t="s">
        <v>2746</v>
      </c>
      <c r="O169" s="2" t="s">
        <v>2747</v>
      </c>
      <c r="P169" s="2" t="s">
        <v>754</v>
      </c>
    </row>
    <row r="170">
      <c r="A170" s="2">
        <v>42</v>
      </c>
      <c r="B170" s="2" t="s">
        <v>82</v>
      </c>
      <c r="C170" s="2" t="s">
        <v>318</v>
      </c>
      <c r="D170" s="2" t="s">
        <v>2729</v>
      </c>
      <c r="E170" s="2" t="s">
        <v>72</v>
      </c>
      <c r="F170" s="2">
        <v>2</v>
      </c>
      <c r="G170" s="2">
        <v>0</v>
      </c>
      <c r="H170" s="2">
        <v>1</v>
      </c>
      <c r="I170" s="2">
        <v>0</v>
      </c>
      <c r="J170" s="2">
        <v>1</v>
      </c>
      <c r="K170" s="2">
        <f t="shared" si="4"/>
        <v>4</v>
      </c>
      <c r="L170" s="2" t="s">
        <v>25</v>
      </c>
      <c r="M170" s="2" t="s">
        <v>1572</v>
      </c>
      <c r="N170" s="2" t="s">
        <v>2746</v>
      </c>
      <c r="O170" s="2" t="s">
        <v>2747</v>
      </c>
      <c r="P170" s="2" t="s">
        <v>320</v>
      </c>
    </row>
    <row r="171">
      <c r="A171" s="2">
        <v>4</v>
      </c>
      <c r="B171" s="2" t="s">
        <v>70</v>
      </c>
      <c r="C171" s="2" t="s">
        <v>71</v>
      </c>
      <c r="D171" s="2" t="s">
        <v>2729</v>
      </c>
      <c r="E171" s="2" t="s">
        <v>72</v>
      </c>
      <c r="F171" s="2">
        <v>2</v>
      </c>
      <c r="G171" s="2">
        <v>0</v>
      </c>
      <c r="H171" s="2">
        <v>1</v>
      </c>
      <c r="I171" s="2">
        <v>0</v>
      </c>
      <c r="J171" s="2">
        <v>1</v>
      </c>
      <c r="K171" s="2">
        <f t="shared" si="4"/>
        <v>4</v>
      </c>
      <c r="L171" s="2" t="s">
        <v>25</v>
      </c>
      <c r="M171" s="2" t="s">
        <v>1572</v>
      </c>
      <c r="N171" s="2" t="s">
        <v>2746</v>
      </c>
      <c r="O171" s="2" t="s">
        <v>2747</v>
      </c>
      <c r="P171" s="2" t="s">
        <v>79</v>
      </c>
    </row>
    <row r="172">
      <c r="A172" s="2">
        <v>61</v>
      </c>
      <c r="B172" s="2" t="s">
        <v>41</v>
      </c>
      <c r="C172" s="2" t="s">
        <v>417</v>
      </c>
      <c r="D172" s="2" t="s">
        <v>2729</v>
      </c>
      <c r="E172" s="2" t="s">
        <v>72</v>
      </c>
      <c r="F172" s="2">
        <v>2</v>
      </c>
      <c r="G172" s="2">
        <v>0</v>
      </c>
      <c r="H172" s="2">
        <v>1</v>
      </c>
      <c r="I172" s="2">
        <v>0</v>
      </c>
      <c r="J172" s="2">
        <v>1</v>
      </c>
      <c r="K172" s="2">
        <f t="shared" si="4"/>
        <v>4</v>
      </c>
      <c r="L172" s="2" t="s">
        <v>25</v>
      </c>
      <c r="M172" s="2" t="s">
        <v>1572</v>
      </c>
      <c r="N172" s="2" t="s">
        <v>2746</v>
      </c>
      <c r="O172" s="2" t="s">
        <v>2747</v>
      </c>
      <c r="P172" s="2" t="s">
        <v>419</v>
      </c>
    </row>
    <row r="173">
      <c r="A173" s="2">
        <v>21</v>
      </c>
      <c r="B173" s="2" t="s">
        <v>117</v>
      </c>
      <c r="C173" s="2" t="s">
        <v>198</v>
      </c>
      <c r="D173" s="2" t="s">
        <v>2729</v>
      </c>
      <c r="E173" s="2" t="s">
        <v>72</v>
      </c>
      <c r="F173" s="2">
        <v>2</v>
      </c>
      <c r="G173" s="2">
        <v>0</v>
      </c>
      <c r="H173" s="2">
        <v>1</v>
      </c>
      <c r="I173" s="2">
        <v>0</v>
      </c>
      <c r="J173" s="2">
        <v>1</v>
      </c>
      <c r="K173" s="2">
        <f t="shared" si="4"/>
        <v>4</v>
      </c>
      <c r="L173" s="2" t="s">
        <v>25</v>
      </c>
      <c r="M173" s="2" t="s">
        <v>1572</v>
      </c>
      <c r="N173" s="2" t="s">
        <v>2746</v>
      </c>
      <c r="O173" s="2" t="s">
        <v>2747</v>
      </c>
      <c r="P173" s="2" t="s">
        <v>200</v>
      </c>
    </row>
    <row r="174">
      <c r="A174" s="2">
        <v>86</v>
      </c>
      <c r="B174" s="2" t="s">
        <v>22</v>
      </c>
      <c r="C174" s="2" t="s">
        <v>539</v>
      </c>
      <c r="D174" s="2" t="s">
        <v>2729</v>
      </c>
      <c r="E174" s="2" t="s">
        <v>72</v>
      </c>
      <c r="F174" s="2">
        <v>2</v>
      </c>
      <c r="G174" s="2">
        <v>0</v>
      </c>
      <c r="H174" s="2">
        <v>1</v>
      </c>
      <c r="I174" s="2">
        <v>0</v>
      </c>
      <c r="J174" s="2">
        <v>1</v>
      </c>
      <c r="K174" s="2">
        <f t="shared" si="4"/>
        <v>4</v>
      </c>
      <c r="L174" s="2" t="s">
        <v>25</v>
      </c>
      <c r="M174" s="2" t="s">
        <v>1572</v>
      </c>
      <c r="N174" s="2" t="s">
        <v>2746</v>
      </c>
      <c r="O174" s="2" t="s">
        <v>2747</v>
      </c>
      <c r="P174" s="2" t="s">
        <v>541</v>
      </c>
    </row>
    <row r="175">
      <c r="A175" s="2">
        <v>23</v>
      </c>
      <c r="B175" s="2" t="s">
        <v>117</v>
      </c>
      <c r="C175" s="2" t="s">
        <v>210</v>
      </c>
      <c r="D175" s="2" t="s">
        <v>2729</v>
      </c>
      <c r="E175" s="2" t="s">
        <v>72</v>
      </c>
      <c r="F175" s="2">
        <v>2</v>
      </c>
      <c r="G175" s="2">
        <v>0</v>
      </c>
      <c r="H175" s="2">
        <v>1</v>
      </c>
      <c r="I175" s="2">
        <v>0</v>
      </c>
      <c r="J175" s="2">
        <v>1</v>
      </c>
      <c r="K175" s="2">
        <f t="shared" si="4"/>
        <v>4</v>
      </c>
      <c r="L175" s="2" t="s">
        <v>25</v>
      </c>
      <c r="M175" s="2" t="s">
        <v>1572</v>
      </c>
      <c r="N175" s="2" t="s">
        <v>2746</v>
      </c>
      <c r="O175" s="2" t="s">
        <v>2747</v>
      </c>
      <c r="P175" s="2" t="s">
        <v>212</v>
      </c>
    </row>
    <row r="176">
      <c r="A176" s="2">
        <v>56</v>
      </c>
      <c r="B176" s="2" t="s">
        <v>82</v>
      </c>
      <c r="C176" s="2" t="s">
        <v>391</v>
      </c>
      <c r="D176" s="2" t="s">
        <v>2729</v>
      </c>
      <c r="E176" s="2" t="s">
        <v>72</v>
      </c>
      <c r="F176" s="2">
        <v>2</v>
      </c>
      <c r="G176" s="2">
        <v>0</v>
      </c>
      <c r="H176" s="2">
        <v>1</v>
      </c>
      <c r="I176" s="2">
        <v>0</v>
      </c>
      <c r="J176" s="2">
        <v>1</v>
      </c>
      <c r="K176" s="2">
        <f t="shared" si="4"/>
        <v>4</v>
      </c>
      <c r="L176" s="2" t="s">
        <v>25</v>
      </c>
      <c r="M176" s="2" t="s">
        <v>1572</v>
      </c>
      <c r="N176" s="2" t="s">
        <v>2746</v>
      </c>
      <c r="O176" s="2" t="s">
        <v>2747</v>
      </c>
      <c r="P176" s="2" t="s">
        <v>392</v>
      </c>
    </row>
    <row r="177">
      <c r="A177" s="2">
        <v>245</v>
      </c>
      <c r="B177" s="2" t="s">
        <v>82</v>
      </c>
      <c r="C177" s="2" t="s">
        <v>1405</v>
      </c>
      <c r="D177" s="2" t="s">
        <v>2719</v>
      </c>
      <c r="E177" s="2" t="s">
        <v>72</v>
      </c>
      <c r="F177" s="2">
        <v>0</v>
      </c>
      <c r="G177" s="2">
        <v>2</v>
      </c>
      <c r="H177" s="2">
        <v>0</v>
      </c>
      <c r="I177" s="2">
        <v>1</v>
      </c>
      <c r="J177" s="2">
        <v>1</v>
      </c>
      <c r="K177" s="2">
        <f t="shared" si="4"/>
        <v>4</v>
      </c>
      <c r="L177" s="2" t="s">
        <v>25</v>
      </c>
      <c r="M177" s="2" t="s">
        <v>1572</v>
      </c>
      <c r="N177" s="2" t="s">
        <v>2746</v>
      </c>
      <c r="O177" s="2" t="s">
        <v>2747</v>
      </c>
      <c r="P177" s="2" t="s">
        <v>1409</v>
      </c>
    </row>
    <row r="178">
      <c r="A178" s="2">
        <v>209</v>
      </c>
      <c r="B178" s="2" t="s">
        <v>41</v>
      </c>
      <c r="C178" s="2" t="s">
        <v>1214</v>
      </c>
      <c r="D178" s="2" t="s">
        <v>2719</v>
      </c>
      <c r="E178" s="2" t="s">
        <v>72</v>
      </c>
      <c r="F178" s="2">
        <v>0</v>
      </c>
      <c r="G178" s="2">
        <v>2</v>
      </c>
      <c r="H178" s="2">
        <v>0</v>
      </c>
      <c r="I178" s="2">
        <v>1</v>
      </c>
      <c r="J178" s="2">
        <v>1</v>
      </c>
      <c r="K178" s="2">
        <f t="shared" si="4"/>
        <v>4</v>
      </c>
      <c r="L178" s="2" t="s">
        <v>25</v>
      </c>
      <c r="M178" s="2" t="s">
        <v>1572</v>
      </c>
      <c r="N178" s="2" t="s">
        <v>2746</v>
      </c>
      <c r="O178" s="2" t="s">
        <v>2747</v>
      </c>
      <c r="P178" s="2" t="s">
        <v>1218</v>
      </c>
    </row>
    <row r="179">
      <c r="A179" s="2">
        <v>189</v>
      </c>
      <c r="B179" s="2" t="s">
        <v>82</v>
      </c>
      <c r="C179" s="2" t="s">
        <v>1107</v>
      </c>
      <c r="D179" s="2" t="s">
        <v>2719</v>
      </c>
      <c r="E179" s="2" t="s">
        <v>72</v>
      </c>
      <c r="F179" s="2">
        <v>0</v>
      </c>
      <c r="G179" s="2">
        <v>2</v>
      </c>
      <c r="H179" s="2">
        <v>0</v>
      </c>
      <c r="I179" s="2">
        <v>1</v>
      </c>
      <c r="J179" s="2">
        <v>1</v>
      </c>
      <c r="K179" s="2">
        <f t="shared" si="4"/>
        <v>4</v>
      </c>
      <c r="L179" s="2" t="s">
        <v>25</v>
      </c>
      <c r="M179" s="2" t="s">
        <v>1572</v>
      </c>
      <c r="N179" s="2" t="s">
        <v>2746</v>
      </c>
      <c r="O179" s="2" t="s">
        <v>2747</v>
      </c>
      <c r="P179" s="2" t="s">
        <v>1111</v>
      </c>
    </row>
    <row r="180">
      <c r="A180" s="2">
        <v>239</v>
      </c>
      <c r="B180" s="2" t="s">
        <v>117</v>
      </c>
      <c r="C180" s="2" t="s">
        <v>1370</v>
      </c>
      <c r="D180" s="2" t="s">
        <v>2719</v>
      </c>
      <c r="E180" s="2" t="s">
        <v>72</v>
      </c>
      <c r="F180" s="2">
        <v>0</v>
      </c>
      <c r="G180" s="2">
        <v>2</v>
      </c>
      <c r="H180" s="2">
        <v>0</v>
      </c>
      <c r="I180" s="2">
        <v>0</v>
      </c>
      <c r="J180" s="2">
        <v>2</v>
      </c>
      <c r="K180" s="2">
        <f t="shared" si="4"/>
        <v>4</v>
      </c>
      <c r="L180" s="2" t="s">
        <v>25</v>
      </c>
      <c r="M180" s="2" t="s">
        <v>1572</v>
      </c>
      <c r="N180" s="2" t="s">
        <v>2746</v>
      </c>
      <c r="O180" s="2" t="s">
        <v>2747</v>
      </c>
      <c r="P180" s="2" t="s">
        <v>1373</v>
      </c>
    </row>
    <row r="181">
      <c r="A181" s="2">
        <v>260</v>
      </c>
      <c r="B181" s="2" t="s">
        <v>82</v>
      </c>
      <c r="C181" s="2" t="s">
        <v>1480</v>
      </c>
      <c r="D181" s="2" t="s">
        <v>2719</v>
      </c>
      <c r="E181" s="2" t="s">
        <v>72</v>
      </c>
      <c r="F181" s="2">
        <v>0</v>
      </c>
      <c r="G181" s="2">
        <v>2</v>
      </c>
      <c r="H181" s="2">
        <v>0</v>
      </c>
      <c r="I181" s="2">
        <v>1</v>
      </c>
      <c r="J181" s="2">
        <v>1</v>
      </c>
      <c r="K181" s="2">
        <f t="shared" si="4"/>
        <v>4</v>
      </c>
      <c r="L181" s="2" t="s">
        <v>25</v>
      </c>
      <c r="M181" s="2" t="s">
        <v>1572</v>
      </c>
      <c r="N181" s="2" t="s">
        <v>2746</v>
      </c>
      <c r="O181" s="2" t="s">
        <v>2747</v>
      </c>
      <c r="P181" s="2" t="s">
        <v>1482</v>
      </c>
    </row>
    <row r="182">
      <c r="A182" s="2">
        <v>220</v>
      </c>
      <c r="B182" s="2" t="s">
        <v>41</v>
      </c>
      <c r="C182" s="2" t="s">
        <v>1274</v>
      </c>
      <c r="D182" s="2" t="s">
        <v>2719</v>
      </c>
      <c r="E182" s="2" t="s">
        <v>72</v>
      </c>
      <c r="F182" s="2">
        <v>0</v>
      </c>
      <c r="G182" s="2">
        <v>2</v>
      </c>
      <c r="H182" s="2">
        <v>0</v>
      </c>
      <c r="I182" s="2">
        <v>1</v>
      </c>
      <c r="J182" s="2">
        <v>1</v>
      </c>
      <c r="K182" s="2">
        <f t="shared" si="4"/>
        <v>4</v>
      </c>
      <c r="L182" s="2" t="s">
        <v>25</v>
      </c>
      <c r="M182" s="2" t="s">
        <v>1572</v>
      </c>
      <c r="N182" s="2" t="s">
        <v>2746</v>
      </c>
      <c r="O182" s="2" t="s">
        <v>2747</v>
      </c>
      <c r="P182" s="2" t="s">
        <v>1277</v>
      </c>
    </row>
    <row r="183">
      <c r="A183" s="2">
        <v>170</v>
      </c>
      <c r="B183" s="2" t="s">
        <v>117</v>
      </c>
      <c r="C183" s="2" t="s">
        <v>997</v>
      </c>
      <c r="D183" s="2" t="s">
        <v>2719</v>
      </c>
      <c r="E183" s="2" t="s">
        <v>72</v>
      </c>
      <c r="F183" s="2">
        <v>0</v>
      </c>
      <c r="G183" s="2">
        <v>2</v>
      </c>
      <c r="H183" s="2">
        <v>0</v>
      </c>
      <c r="I183" s="2">
        <v>1</v>
      </c>
      <c r="J183" s="2">
        <v>1</v>
      </c>
      <c r="K183" s="2">
        <f t="shared" si="4"/>
        <v>4</v>
      </c>
      <c r="L183" s="2" t="s">
        <v>25</v>
      </c>
      <c r="M183" s="2" t="s">
        <v>1572</v>
      </c>
      <c r="N183" s="2" t="s">
        <v>2746</v>
      </c>
      <c r="O183" s="2" t="s">
        <v>2747</v>
      </c>
      <c r="P183" s="2" t="s">
        <v>1002</v>
      </c>
    </row>
    <row r="184">
      <c r="A184" s="2">
        <v>181</v>
      </c>
      <c r="B184" s="2" t="s">
        <v>82</v>
      </c>
      <c r="C184" s="2" t="s">
        <v>1062</v>
      </c>
      <c r="D184" s="2" t="s">
        <v>2719</v>
      </c>
      <c r="E184" s="2" t="s">
        <v>72</v>
      </c>
      <c r="F184" s="2">
        <v>0</v>
      </c>
      <c r="G184" s="2">
        <v>2</v>
      </c>
      <c r="H184" s="2">
        <v>0</v>
      </c>
      <c r="I184" s="2">
        <v>1</v>
      </c>
      <c r="J184" s="2">
        <v>1</v>
      </c>
      <c r="K184" s="2">
        <f t="shared" si="4"/>
        <v>4</v>
      </c>
      <c r="L184" s="2" t="s">
        <v>25</v>
      </c>
      <c r="M184" s="2" t="s">
        <v>1572</v>
      </c>
      <c r="N184" s="2" t="s">
        <v>2746</v>
      </c>
      <c r="O184" s="2" t="s">
        <v>2747</v>
      </c>
      <c r="P184" s="2" t="s">
        <v>1066</v>
      </c>
    </row>
    <row r="185">
      <c r="A185" s="2">
        <v>194</v>
      </c>
      <c r="B185" s="2" t="s">
        <v>41</v>
      </c>
      <c r="C185" s="2" t="s">
        <v>1134</v>
      </c>
      <c r="D185" s="2" t="s">
        <v>2719</v>
      </c>
      <c r="E185" s="2" t="s">
        <v>72</v>
      </c>
      <c r="F185" s="2">
        <v>0</v>
      </c>
      <c r="G185" s="2">
        <v>2</v>
      </c>
      <c r="H185" s="2">
        <v>0</v>
      </c>
      <c r="I185" s="2">
        <v>1</v>
      </c>
      <c r="J185" s="2">
        <v>1</v>
      </c>
      <c r="K185" s="2">
        <f t="shared" si="4"/>
        <v>4</v>
      </c>
      <c r="L185" s="2" t="s">
        <v>25</v>
      </c>
      <c r="M185" s="2" t="s">
        <v>1572</v>
      </c>
      <c r="N185" s="2" t="s">
        <v>2746</v>
      </c>
      <c r="O185" s="2" t="s">
        <v>2747</v>
      </c>
      <c r="P185" s="2" t="s">
        <v>1136</v>
      </c>
    </row>
    <row r="186">
      <c r="A186" s="2">
        <v>217</v>
      </c>
      <c r="B186" s="2" t="s">
        <v>117</v>
      </c>
      <c r="C186" s="2" t="s">
        <v>1258</v>
      </c>
      <c r="D186" s="2" t="s">
        <v>2719</v>
      </c>
      <c r="E186" s="2" t="s">
        <v>72</v>
      </c>
      <c r="F186" s="2">
        <v>0</v>
      </c>
      <c r="G186" s="2">
        <v>2</v>
      </c>
      <c r="H186" s="2">
        <v>0</v>
      </c>
      <c r="I186" s="2">
        <v>1</v>
      </c>
      <c r="J186" s="2">
        <v>1</v>
      </c>
      <c r="K186" s="2">
        <f t="shared" si="4"/>
        <v>4</v>
      </c>
      <c r="L186" s="2" t="s">
        <v>25</v>
      </c>
      <c r="M186" s="2" t="s">
        <v>1572</v>
      </c>
      <c r="N186" s="2" t="s">
        <v>2746</v>
      </c>
      <c r="O186" s="2" t="s">
        <v>2747</v>
      </c>
      <c r="P186" s="2" t="s">
        <v>1262</v>
      </c>
    </row>
    <row r="187">
      <c r="A187" s="2">
        <v>223</v>
      </c>
      <c r="B187" s="2" t="s">
        <v>41</v>
      </c>
      <c r="C187" s="2" t="s">
        <v>1288</v>
      </c>
      <c r="D187" s="2" t="s">
        <v>2719</v>
      </c>
      <c r="E187" s="2" t="s">
        <v>72</v>
      </c>
      <c r="F187" s="2">
        <v>0</v>
      </c>
      <c r="G187" s="2">
        <v>2</v>
      </c>
      <c r="H187" s="2">
        <v>0</v>
      </c>
      <c r="I187" s="2">
        <v>1</v>
      </c>
      <c r="J187" s="2">
        <v>1</v>
      </c>
      <c r="K187" s="2">
        <f t="shared" si="4"/>
        <v>4</v>
      </c>
      <c r="L187" s="2" t="s">
        <v>25</v>
      </c>
      <c r="M187" s="2" t="s">
        <v>1572</v>
      </c>
      <c r="N187" s="2" t="s">
        <v>2746</v>
      </c>
      <c r="O187" s="2" t="s">
        <v>2747</v>
      </c>
      <c r="P187" s="2" t="s">
        <v>1292</v>
      </c>
    </row>
    <row r="188">
      <c r="A188" s="2">
        <v>238</v>
      </c>
      <c r="B188" s="2" t="s">
        <v>41</v>
      </c>
      <c r="C188" s="2" t="s">
        <v>1364</v>
      </c>
      <c r="D188" s="2" t="s">
        <v>2719</v>
      </c>
      <c r="E188" s="2" t="s">
        <v>72</v>
      </c>
      <c r="F188" s="2">
        <v>0</v>
      </c>
      <c r="G188" s="2">
        <v>2</v>
      </c>
      <c r="H188" s="2">
        <v>0</v>
      </c>
      <c r="I188" s="2">
        <v>1</v>
      </c>
      <c r="J188" s="2">
        <v>1</v>
      </c>
      <c r="K188" s="2">
        <f t="shared" si="4"/>
        <v>4</v>
      </c>
      <c r="L188" s="2" t="s">
        <v>25</v>
      </c>
      <c r="M188" s="2" t="s">
        <v>1572</v>
      </c>
      <c r="N188" s="2" t="s">
        <v>2746</v>
      </c>
      <c r="O188" s="2" t="s">
        <v>2747</v>
      </c>
      <c r="P188" s="2" t="s">
        <v>1368</v>
      </c>
    </row>
    <row r="189">
      <c r="A189" s="2">
        <v>188</v>
      </c>
      <c r="B189" s="2" t="s">
        <v>82</v>
      </c>
      <c r="C189" s="2" t="s">
        <v>1102</v>
      </c>
      <c r="D189" s="2" t="s">
        <v>2719</v>
      </c>
      <c r="E189" s="2" t="s">
        <v>72</v>
      </c>
      <c r="F189" s="2">
        <v>0</v>
      </c>
      <c r="G189" s="2">
        <v>2</v>
      </c>
      <c r="H189" s="2">
        <v>0</v>
      </c>
      <c r="I189" s="2">
        <v>1</v>
      </c>
      <c r="J189" s="2">
        <v>1</v>
      </c>
      <c r="K189" s="2">
        <f t="shared" si="4"/>
        <v>4</v>
      </c>
      <c r="L189" s="2" t="s">
        <v>25</v>
      </c>
      <c r="M189" s="2" t="s">
        <v>1572</v>
      </c>
      <c r="N189" s="2" t="s">
        <v>2746</v>
      </c>
      <c r="O189" s="2" t="s">
        <v>2747</v>
      </c>
      <c r="P189" s="2" t="s">
        <v>1105</v>
      </c>
    </row>
    <row r="190">
      <c r="A190" s="2">
        <v>219</v>
      </c>
      <c r="B190" s="2" t="s">
        <v>56</v>
      </c>
      <c r="C190" s="2" t="s">
        <v>1268</v>
      </c>
      <c r="D190" s="2" t="s">
        <v>2719</v>
      </c>
      <c r="E190" s="2" t="s">
        <v>72</v>
      </c>
      <c r="F190" s="2">
        <v>0</v>
      </c>
      <c r="G190" s="2">
        <v>2</v>
      </c>
      <c r="H190" s="2">
        <v>0</v>
      </c>
      <c r="I190" s="2">
        <v>1</v>
      </c>
      <c r="J190" s="2">
        <v>1</v>
      </c>
      <c r="K190" s="2">
        <f t="shared" si="4"/>
        <v>4</v>
      </c>
      <c r="L190" s="2" t="s">
        <v>25</v>
      </c>
      <c r="M190" s="2" t="s">
        <v>1572</v>
      </c>
      <c r="N190" s="2" t="s">
        <v>2746</v>
      </c>
      <c r="O190" s="2" t="s">
        <v>2747</v>
      </c>
      <c r="P190" s="2" t="s">
        <v>1272</v>
      </c>
    </row>
    <row r="191">
      <c r="A191" s="2">
        <v>176</v>
      </c>
      <c r="B191" s="2" t="s">
        <v>56</v>
      </c>
      <c r="C191" s="2" t="s">
        <v>1033</v>
      </c>
      <c r="D191" s="2" t="s">
        <v>2719</v>
      </c>
      <c r="E191" s="2" t="s">
        <v>72</v>
      </c>
      <c r="F191" s="2">
        <v>0</v>
      </c>
      <c r="G191" s="2">
        <v>2</v>
      </c>
      <c r="H191" s="2">
        <v>0</v>
      </c>
      <c r="I191" s="2">
        <v>1</v>
      </c>
      <c r="J191" s="2">
        <v>1</v>
      </c>
      <c r="K191" s="2">
        <f t="shared" si="4"/>
        <v>4</v>
      </c>
      <c r="L191" s="2" t="s">
        <v>25</v>
      </c>
      <c r="M191" s="2" t="s">
        <v>1572</v>
      </c>
      <c r="N191" s="2" t="s">
        <v>2746</v>
      </c>
      <c r="O191" s="2" t="s">
        <v>2747</v>
      </c>
      <c r="P191" s="2" t="s">
        <v>1037</v>
      </c>
    </row>
    <row r="192">
      <c r="A192" s="2">
        <v>179</v>
      </c>
      <c r="B192" s="2" t="s">
        <v>117</v>
      </c>
      <c r="C192" s="2" t="s">
        <v>1051</v>
      </c>
      <c r="D192" s="2" t="s">
        <v>2719</v>
      </c>
      <c r="E192" s="2" t="s">
        <v>72</v>
      </c>
      <c r="F192" s="2">
        <v>0</v>
      </c>
      <c r="G192" s="2">
        <v>2</v>
      </c>
      <c r="H192" s="2">
        <v>0</v>
      </c>
      <c r="I192" s="2">
        <v>1</v>
      </c>
      <c r="J192" s="2">
        <v>1</v>
      </c>
      <c r="K192" s="2">
        <f t="shared" si="4"/>
        <v>4</v>
      </c>
      <c r="L192" s="2" t="s">
        <v>25</v>
      </c>
      <c r="M192" s="2" t="s">
        <v>1572</v>
      </c>
      <c r="N192" s="2" t="s">
        <v>2746</v>
      </c>
      <c r="O192" s="2" t="s">
        <v>2747</v>
      </c>
      <c r="P192" s="2" t="s">
        <v>1055</v>
      </c>
    </row>
    <row r="193">
      <c r="A193" s="2">
        <v>202</v>
      </c>
      <c r="B193" s="2" t="s">
        <v>131</v>
      </c>
      <c r="C193" s="2" t="s">
        <v>1181</v>
      </c>
      <c r="D193" s="2" t="s">
        <v>2719</v>
      </c>
      <c r="E193" s="2" t="s">
        <v>72</v>
      </c>
      <c r="F193" s="2">
        <v>0</v>
      </c>
      <c r="G193" s="2">
        <v>1</v>
      </c>
      <c r="H193" s="2">
        <v>1</v>
      </c>
      <c r="I193" s="2">
        <v>1</v>
      </c>
      <c r="J193" s="2">
        <v>1</v>
      </c>
      <c r="K193" s="2">
        <f t="shared" si="4"/>
        <v>4</v>
      </c>
      <c r="L193" s="2" t="s">
        <v>25</v>
      </c>
      <c r="M193" s="2" t="s">
        <v>1572</v>
      </c>
      <c r="N193" s="2" t="s">
        <v>2746</v>
      </c>
      <c r="O193" s="2" t="s">
        <v>2747</v>
      </c>
      <c r="P193" s="2" t="s">
        <v>1183</v>
      </c>
    </row>
    <row r="194">
      <c r="A194" s="2">
        <v>196</v>
      </c>
      <c r="B194" s="2" t="s">
        <v>82</v>
      </c>
      <c r="C194" s="2" t="s">
        <v>1142</v>
      </c>
      <c r="D194" s="2" t="s">
        <v>2719</v>
      </c>
      <c r="E194" s="2" t="s">
        <v>72</v>
      </c>
      <c r="F194" s="2">
        <v>0</v>
      </c>
      <c r="G194" s="2">
        <v>2</v>
      </c>
      <c r="H194" s="2">
        <v>0</v>
      </c>
      <c r="I194" s="2">
        <v>1</v>
      </c>
      <c r="J194" s="2">
        <v>1</v>
      </c>
      <c r="K194" s="2">
        <f t="shared" si="4"/>
        <v>4</v>
      </c>
      <c r="L194" s="2" t="s">
        <v>25</v>
      </c>
      <c r="M194" s="2" t="s">
        <v>1572</v>
      </c>
      <c r="N194" s="2" t="s">
        <v>2746</v>
      </c>
      <c r="O194" s="2" t="s">
        <v>2747</v>
      </c>
      <c r="P194" s="2" t="s">
        <v>1146</v>
      </c>
    </row>
    <row r="195">
      <c r="A195" s="2">
        <v>218</v>
      </c>
      <c r="B195" s="2" t="s">
        <v>239</v>
      </c>
      <c r="C195" s="2" t="s">
        <v>1264</v>
      </c>
      <c r="D195" s="2" t="s">
        <v>2719</v>
      </c>
      <c r="E195" s="2" t="s">
        <v>26</v>
      </c>
      <c r="F195" s="2">
        <v>0</v>
      </c>
      <c r="G195" s="2">
        <v>2</v>
      </c>
      <c r="H195" s="2">
        <v>0</v>
      </c>
      <c r="I195" s="2">
        <v>1</v>
      </c>
      <c r="J195" s="2">
        <v>1</v>
      </c>
      <c r="K195" s="2">
        <f t="shared" si="4"/>
        <v>4</v>
      </c>
      <c r="L195" s="2" t="s">
        <v>25</v>
      </c>
      <c r="M195" s="2" t="s">
        <v>1572</v>
      </c>
      <c r="N195" s="2" t="s">
        <v>2746</v>
      </c>
      <c r="O195" s="2" t="s">
        <v>2747</v>
      </c>
      <c r="P195" s="2" t="s">
        <v>1266</v>
      </c>
    </row>
    <row r="196">
      <c r="A196" s="2">
        <v>259</v>
      </c>
      <c r="B196" s="2" t="s">
        <v>82</v>
      </c>
      <c r="C196" s="2" t="s">
        <v>1476</v>
      </c>
      <c r="D196" s="2" t="s">
        <v>2719</v>
      </c>
      <c r="E196" s="2" t="s">
        <v>72</v>
      </c>
      <c r="F196" s="2">
        <v>0</v>
      </c>
      <c r="G196" s="2">
        <v>2</v>
      </c>
      <c r="H196" s="2">
        <v>0</v>
      </c>
      <c r="I196" s="2">
        <v>1</v>
      </c>
      <c r="J196" s="2">
        <v>1</v>
      </c>
      <c r="K196" s="2">
        <f t="shared" si="4"/>
        <v>4</v>
      </c>
      <c r="L196" s="2" t="s">
        <v>25</v>
      </c>
      <c r="M196" s="2" t="s">
        <v>1572</v>
      </c>
      <c r="N196" s="2" t="s">
        <v>2746</v>
      </c>
      <c r="O196" s="2" t="s">
        <v>2747</v>
      </c>
      <c r="P196" s="2" t="s">
        <v>1478</v>
      </c>
    </row>
    <row r="197">
      <c r="A197" s="2">
        <v>210</v>
      </c>
      <c r="B197" s="2" t="s">
        <v>117</v>
      </c>
      <c r="C197" s="2" t="s">
        <v>1220</v>
      </c>
      <c r="D197" s="2" t="s">
        <v>2719</v>
      </c>
      <c r="E197" s="2" t="s">
        <v>72</v>
      </c>
      <c r="F197" s="2">
        <v>0</v>
      </c>
      <c r="G197" s="2">
        <v>2</v>
      </c>
      <c r="H197" s="2">
        <v>0</v>
      </c>
      <c r="I197" s="2">
        <v>1</v>
      </c>
      <c r="J197" s="2">
        <v>1</v>
      </c>
      <c r="K197" s="2">
        <f t="shared" si="4"/>
        <v>4</v>
      </c>
      <c r="L197" s="2" t="s">
        <v>25</v>
      </c>
      <c r="M197" s="2" t="s">
        <v>1572</v>
      </c>
      <c r="N197" s="2" t="s">
        <v>2746</v>
      </c>
      <c r="O197" s="2" t="s">
        <v>2747</v>
      </c>
      <c r="P197" s="2" t="s">
        <v>1224</v>
      </c>
    </row>
    <row r="198">
      <c r="A198" s="2">
        <v>190</v>
      </c>
      <c r="B198" s="2" t="s">
        <v>41</v>
      </c>
      <c r="C198" s="2" t="s">
        <v>1114</v>
      </c>
      <c r="D198" s="2" t="s">
        <v>2719</v>
      </c>
      <c r="E198" s="2" t="s">
        <v>72</v>
      </c>
      <c r="F198" s="2">
        <v>0</v>
      </c>
      <c r="G198" s="2">
        <v>2</v>
      </c>
      <c r="H198" s="2">
        <v>0</v>
      </c>
      <c r="I198" s="2">
        <v>1</v>
      </c>
      <c r="J198" s="2">
        <v>1</v>
      </c>
      <c r="K198" s="2">
        <f t="shared" si="4"/>
        <v>4</v>
      </c>
      <c r="L198" s="2" t="s">
        <v>25</v>
      </c>
      <c r="M198" s="2" t="s">
        <v>1572</v>
      </c>
      <c r="N198" s="2" t="s">
        <v>2746</v>
      </c>
      <c r="O198" s="2" t="s">
        <v>2747</v>
      </c>
      <c r="P198" s="2" t="s">
        <v>1117</v>
      </c>
    </row>
    <row r="199">
      <c r="A199" s="2">
        <v>182</v>
      </c>
      <c r="B199" s="2" t="s">
        <v>41</v>
      </c>
      <c r="C199" s="2" t="s">
        <v>1068</v>
      </c>
      <c r="D199" s="2" t="s">
        <v>2719</v>
      </c>
      <c r="E199" s="2" t="s">
        <v>72</v>
      </c>
      <c r="F199" s="2">
        <v>0</v>
      </c>
      <c r="G199" s="2">
        <v>2</v>
      </c>
      <c r="H199" s="2">
        <v>0</v>
      </c>
      <c r="I199" s="2">
        <v>1</v>
      </c>
      <c r="J199" s="2">
        <v>1</v>
      </c>
      <c r="K199" s="2">
        <f t="shared" si="4"/>
        <v>4</v>
      </c>
      <c r="L199" s="2" t="s">
        <v>25</v>
      </c>
      <c r="M199" s="2" t="s">
        <v>1572</v>
      </c>
      <c r="N199" s="2" t="s">
        <v>2746</v>
      </c>
      <c r="O199" s="2" t="s">
        <v>2747</v>
      </c>
      <c r="P199" s="2" t="s">
        <v>1072</v>
      </c>
    </row>
    <row r="200">
      <c r="A200" s="2">
        <v>172</v>
      </c>
      <c r="B200" s="2" t="s">
        <v>82</v>
      </c>
      <c r="C200" s="2" t="s">
        <v>1010</v>
      </c>
      <c r="D200" s="2" t="s">
        <v>2719</v>
      </c>
      <c r="E200" s="2" t="s">
        <v>72</v>
      </c>
      <c r="F200" s="2">
        <v>0</v>
      </c>
      <c r="G200" s="2">
        <v>2</v>
      </c>
      <c r="H200" s="2">
        <v>0</v>
      </c>
      <c r="I200" s="2">
        <v>1</v>
      </c>
      <c r="J200" s="2">
        <v>1</v>
      </c>
      <c r="K200" s="2">
        <f t="shared" si="4"/>
        <v>4</v>
      </c>
      <c r="L200" s="2" t="s">
        <v>25</v>
      </c>
      <c r="M200" s="2" t="s">
        <v>1572</v>
      </c>
      <c r="N200" s="2" t="s">
        <v>2746</v>
      </c>
      <c r="O200" s="2" t="s">
        <v>2747</v>
      </c>
      <c r="P200" s="2" t="s">
        <v>1015</v>
      </c>
    </row>
    <row r="201">
      <c r="A201" s="2">
        <v>263</v>
      </c>
      <c r="B201" s="2" t="s">
        <v>82</v>
      </c>
      <c r="C201" s="2" t="s">
        <v>1497</v>
      </c>
      <c r="D201" s="2" t="s">
        <v>2719</v>
      </c>
      <c r="E201" s="2" t="s">
        <v>72</v>
      </c>
      <c r="F201" s="2">
        <v>0</v>
      </c>
      <c r="G201" s="2">
        <v>2</v>
      </c>
      <c r="H201" s="2">
        <v>0</v>
      </c>
      <c r="I201" s="2">
        <v>1</v>
      </c>
      <c r="J201" s="2">
        <v>1</v>
      </c>
      <c r="K201" s="2">
        <f t="shared" si="4"/>
        <v>4</v>
      </c>
      <c r="L201" s="2" t="s">
        <v>25</v>
      </c>
      <c r="M201" s="2" t="s">
        <v>1572</v>
      </c>
      <c r="N201" s="2" t="s">
        <v>2746</v>
      </c>
      <c r="O201" s="2" t="s">
        <v>2747</v>
      </c>
      <c r="P201" s="2" t="s">
        <v>1499</v>
      </c>
    </row>
    <row r="202">
      <c r="A202" s="2">
        <v>212</v>
      </c>
      <c r="B202" s="2" t="s">
        <v>82</v>
      </c>
      <c r="C202" s="2" t="s">
        <v>1231</v>
      </c>
      <c r="D202" s="2" t="s">
        <v>2719</v>
      </c>
      <c r="E202" s="2" t="s">
        <v>72</v>
      </c>
      <c r="F202" s="2">
        <v>0</v>
      </c>
      <c r="G202" s="2">
        <v>2</v>
      </c>
      <c r="H202" s="2">
        <v>0</v>
      </c>
      <c r="I202" s="2">
        <v>1</v>
      </c>
      <c r="J202" s="2">
        <v>1</v>
      </c>
      <c r="K202" s="2">
        <f t="shared" si="4"/>
        <v>4</v>
      </c>
      <c r="L202" s="2" t="s">
        <v>25</v>
      </c>
      <c r="M202" s="2" t="s">
        <v>1572</v>
      </c>
      <c r="N202" s="2" t="s">
        <v>2746</v>
      </c>
      <c r="O202" s="2" t="s">
        <v>2747</v>
      </c>
      <c r="P202" s="2" t="s">
        <v>1235</v>
      </c>
    </row>
    <row r="203">
      <c r="A203" s="2">
        <v>201</v>
      </c>
      <c r="B203" s="2" t="s">
        <v>117</v>
      </c>
      <c r="C203" s="2" t="s">
        <v>1175</v>
      </c>
      <c r="D203" s="2" t="s">
        <v>2719</v>
      </c>
      <c r="E203" s="2" t="s">
        <v>72</v>
      </c>
      <c r="F203" s="2">
        <v>0</v>
      </c>
      <c r="G203" s="2">
        <v>2</v>
      </c>
      <c r="H203" s="2">
        <v>0</v>
      </c>
      <c r="I203" s="2">
        <v>1</v>
      </c>
      <c r="J203" s="2">
        <v>1</v>
      </c>
      <c r="K203" s="2">
        <f t="shared" si="4"/>
        <v>4</v>
      </c>
      <c r="L203" s="2" t="s">
        <v>25</v>
      </c>
      <c r="M203" s="2" t="s">
        <v>1572</v>
      </c>
      <c r="N203" s="2" t="s">
        <v>2746</v>
      </c>
      <c r="O203" s="2" t="s">
        <v>2747</v>
      </c>
      <c r="P203" s="2" t="s">
        <v>1179</v>
      </c>
    </row>
    <row r="204">
      <c r="A204" s="2">
        <v>171</v>
      </c>
      <c r="B204" s="2" t="s">
        <v>117</v>
      </c>
      <c r="C204" s="2" t="s">
        <v>1004</v>
      </c>
      <c r="D204" s="2" t="s">
        <v>2719</v>
      </c>
      <c r="E204" s="2" t="s">
        <v>72</v>
      </c>
      <c r="F204" s="2">
        <v>0</v>
      </c>
      <c r="G204" s="2">
        <v>2</v>
      </c>
      <c r="H204" s="2">
        <v>0</v>
      </c>
      <c r="I204" s="2">
        <v>1</v>
      </c>
      <c r="J204" s="2">
        <v>1</v>
      </c>
      <c r="K204" s="2">
        <f t="shared" si="4"/>
        <v>4</v>
      </c>
      <c r="L204" s="2" t="s">
        <v>25</v>
      </c>
      <c r="M204" s="2" t="s">
        <v>1572</v>
      </c>
      <c r="N204" s="2" t="s">
        <v>2746</v>
      </c>
      <c r="O204" s="2" t="s">
        <v>2747</v>
      </c>
      <c r="P204" s="2" t="s">
        <v>1008</v>
      </c>
    </row>
    <row r="205">
      <c r="A205" s="2">
        <v>241</v>
      </c>
      <c r="B205" s="2" t="s">
        <v>192</v>
      </c>
      <c r="C205" s="2" t="s">
        <v>1380</v>
      </c>
      <c r="D205" s="2" t="s">
        <v>2719</v>
      </c>
      <c r="E205" s="2" t="s">
        <v>72</v>
      </c>
      <c r="F205" s="2">
        <v>0</v>
      </c>
      <c r="G205" s="2">
        <v>2</v>
      </c>
      <c r="H205" s="2">
        <v>0</v>
      </c>
      <c r="I205" s="2">
        <v>0</v>
      </c>
      <c r="J205" s="2">
        <v>2</v>
      </c>
      <c r="K205" s="2">
        <f t="shared" si="4"/>
        <v>4</v>
      </c>
      <c r="L205" s="2" t="s">
        <v>25</v>
      </c>
      <c r="M205" s="2" t="s">
        <v>1572</v>
      </c>
      <c r="N205" s="2" t="s">
        <v>2746</v>
      </c>
      <c r="O205" s="2" t="s">
        <v>2747</v>
      </c>
      <c r="P205" s="2" t="s">
        <v>1382</v>
      </c>
    </row>
    <row r="206">
      <c r="A206" s="2">
        <v>229</v>
      </c>
      <c r="B206" s="2" t="s">
        <v>41</v>
      </c>
      <c r="C206" s="2" t="s">
        <v>1321</v>
      </c>
      <c r="D206" s="2" t="s">
        <v>2719</v>
      </c>
      <c r="E206" s="2" t="s">
        <v>72</v>
      </c>
      <c r="F206" s="2">
        <v>0</v>
      </c>
      <c r="G206" s="2">
        <v>2</v>
      </c>
      <c r="H206" s="2">
        <v>0</v>
      </c>
      <c r="I206" s="2">
        <v>0</v>
      </c>
      <c r="J206" s="2">
        <v>2</v>
      </c>
      <c r="K206" s="2">
        <f t="shared" si="4"/>
        <v>4</v>
      </c>
      <c r="L206" s="2" t="s">
        <v>25</v>
      </c>
      <c r="M206" s="2" t="s">
        <v>1572</v>
      </c>
      <c r="N206" s="2" t="s">
        <v>2746</v>
      </c>
      <c r="O206" s="2" t="s">
        <v>2747</v>
      </c>
      <c r="P206" s="2" t="s">
        <v>1323</v>
      </c>
    </row>
    <row r="207">
      <c r="A207" s="2">
        <v>193</v>
      </c>
      <c r="B207" s="2" t="s">
        <v>192</v>
      </c>
      <c r="C207" s="2" t="s">
        <v>1129</v>
      </c>
      <c r="D207" s="2" t="s">
        <v>2719</v>
      </c>
      <c r="E207" s="2" t="s">
        <v>72</v>
      </c>
      <c r="F207" s="2">
        <v>0</v>
      </c>
      <c r="G207" s="2">
        <v>2</v>
      </c>
      <c r="H207" s="2">
        <v>0</v>
      </c>
      <c r="I207" s="2">
        <v>1</v>
      </c>
      <c r="J207" s="2">
        <v>1</v>
      </c>
      <c r="K207" s="2">
        <f t="shared" si="4"/>
        <v>4</v>
      </c>
      <c r="L207" s="2" t="s">
        <v>25</v>
      </c>
      <c r="M207" s="2" t="s">
        <v>1572</v>
      </c>
      <c r="N207" s="2" t="s">
        <v>2746</v>
      </c>
      <c r="O207" s="2" t="s">
        <v>2747</v>
      </c>
      <c r="P207" s="2" t="s">
        <v>1132</v>
      </c>
    </row>
    <row r="208">
      <c r="A208" s="2">
        <v>225</v>
      </c>
      <c r="B208" s="2" t="s">
        <v>117</v>
      </c>
      <c r="C208" s="2" t="s">
        <v>1300</v>
      </c>
      <c r="D208" s="2" t="s">
        <v>2719</v>
      </c>
      <c r="E208" s="2" t="s">
        <v>72</v>
      </c>
      <c r="F208" s="2">
        <v>0</v>
      </c>
      <c r="G208" s="2">
        <v>2</v>
      </c>
      <c r="H208" s="2">
        <v>0</v>
      </c>
      <c r="I208" s="2">
        <v>1</v>
      </c>
      <c r="J208" s="2">
        <v>1</v>
      </c>
      <c r="K208" s="2">
        <f t="shared" si="4"/>
        <v>4</v>
      </c>
      <c r="L208" s="2" t="s">
        <v>25</v>
      </c>
      <c r="M208" s="2" t="s">
        <v>1572</v>
      </c>
      <c r="N208" s="2" t="s">
        <v>2746</v>
      </c>
      <c r="O208" s="2" t="s">
        <v>2747</v>
      </c>
      <c r="P208" s="2" t="s">
        <v>1303</v>
      </c>
    </row>
    <row r="209">
      <c r="A209" s="2">
        <v>234</v>
      </c>
      <c r="B209" s="2" t="s">
        <v>41</v>
      </c>
      <c r="C209" s="2" t="s">
        <v>1343</v>
      </c>
      <c r="D209" s="2" t="s">
        <v>2719</v>
      </c>
      <c r="E209" s="2" t="s">
        <v>26</v>
      </c>
      <c r="F209" s="2">
        <v>1</v>
      </c>
      <c r="G209" s="2">
        <v>2</v>
      </c>
      <c r="H209" s="2">
        <v>0</v>
      </c>
      <c r="I209" s="2">
        <v>0</v>
      </c>
      <c r="J209" s="2">
        <v>1</v>
      </c>
      <c r="K209" s="2">
        <f t="shared" si="4"/>
        <v>4</v>
      </c>
      <c r="L209" s="2" t="s">
        <v>25</v>
      </c>
      <c r="M209" s="2" t="s">
        <v>1572</v>
      </c>
      <c r="N209" s="2" t="s">
        <v>2746</v>
      </c>
      <c r="O209" s="2" t="s">
        <v>2747</v>
      </c>
      <c r="P209" s="2" t="s">
        <v>1345</v>
      </c>
    </row>
    <row r="210">
      <c r="A210" s="2">
        <v>228</v>
      </c>
      <c r="B210" s="2" t="s">
        <v>41</v>
      </c>
      <c r="C210" s="2" t="s">
        <v>1315</v>
      </c>
      <c r="D210" s="2" t="s">
        <v>2719</v>
      </c>
      <c r="E210" s="2" t="s">
        <v>72</v>
      </c>
      <c r="F210" s="2">
        <v>0</v>
      </c>
      <c r="G210" s="2">
        <v>2</v>
      </c>
      <c r="H210" s="2">
        <v>0</v>
      </c>
      <c r="I210" s="2">
        <v>1</v>
      </c>
      <c r="J210" s="2">
        <v>1</v>
      </c>
      <c r="K210" s="2">
        <f t="shared" si="4"/>
        <v>4</v>
      </c>
      <c r="L210" s="2" t="s">
        <v>25</v>
      </c>
      <c r="M210" s="2" t="s">
        <v>1572</v>
      </c>
      <c r="N210" s="2" t="s">
        <v>2746</v>
      </c>
      <c r="O210" s="2" t="s">
        <v>2747</v>
      </c>
      <c r="P210" s="2" t="s">
        <v>1319</v>
      </c>
    </row>
    <row r="211">
      <c r="A211" s="2">
        <v>169</v>
      </c>
      <c r="B211" s="2" t="s">
        <v>131</v>
      </c>
      <c r="C211" s="2" t="s">
        <v>990</v>
      </c>
      <c r="D211" s="2" t="s">
        <v>2719</v>
      </c>
      <c r="E211" s="2" t="s">
        <v>72</v>
      </c>
      <c r="F211" s="2">
        <v>0</v>
      </c>
      <c r="G211" s="2">
        <v>2</v>
      </c>
      <c r="H211" s="2">
        <v>0</v>
      </c>
      <c r="I211" s="2">
        <v>0</v>
      </c>
      <c r="J211" s="2">
        <v>2</v>
      </c>
      <c r="K211" s="2">
        <f t="shared" si="4"/>
        <v>4</v>
      </c>
      <c r="L211" s="2" t="s">
        <v>25</v>
      </c>
      <c r="M211" s="2" t="s">
        <v>1572</v>
      </c>
      <c r="N211" s="2" t="s">
        <v>2746</v>
      </c>
      <c r="O211" s="2" t="s">
        <v>2747</v>
      </c>
      <c r="P211" s="2" t="s">
        <v>995</v>
      </c>
    </row>
    <row r="212">
      <c r="A212" s="2">
        <v>221</v>
      </c>
      <c r="B212" s="2" t="s">
        <v>239</v>
      </c>
      <c r="C212" s="2" t="s">
        <v>1279</v>
      </c>
      <c r="D212" s="2" t="s">
        <v>2719</v>
      </c>
      <c r="E212" s="2" t="s">
        <v>72</v>
      </c>
      <c r="F212" s="2">
        <v>0</v>
      </c>
      <c r="G212" s="2">
        <v>2</v>
      </c>
      <c r="H212" s="2">
        <v>0</v>
      </c>
      <c r="I212" s="2">
        <v>1</v>
      </c>
      <c r="J212" s="2">
        <v>1</v>
      </c>
      <c r="K212" s="2">
        <f t="shared" si="4"/>
        <v>4</v>
      </c>
      <c r="L212" s="2" t="s">
        <v>25</v>
      </c>
      <c r="M212" s="2" t="s">
        <v>1572</v>
      </c>
      <c r="N212" s="2" t="s">
        <v>2746</v>
      </c>
      <c r="O212" s="2" t="s">
        <v>2747</v>
      </c>
      <c r="P212" s="2" t="s">
        <v>1282</v>
      </c>
    </row>
    <row r="213">
      <c r="A213" s="2">
        <v>174</v>
      </c>
      <c r="B213" s="2" t="s">
        <v>56</v>
      </c>
      <c r="C213" s="2" t="s">
        <v>1022</v>
      </c>
      <c r="D213" s="2" t="s">
        <v>2719</v>
      </c>
      <c r="E213" s="2" t="s">
        <v>72</v>
      </c>
      <c r="F213" s="2">
        <v>0</v>
      </c>
      <c r="G213" s="2">
        <v>2</v>
      </c>
      <c r="H213" s="2">
        <v>0</v>
      </c>
      <c r="I213" s="2">
        <v>1</v>
      </c>
      <c r="J213" s="2">
        <v>1</v>
      </c>
      <c r="K213" s="2">
        <f t="shared" si="4"/>
        <v>4</v>
      </c>
      <c r="L213" s="2" t="s">
        <v>25</v>
      </c>
      <c r="M213" s="2" t="s">
        <v>1572</v>
      </c>
      <c r="N213" s="2" t="s">
        <v>2746</v>
      </c>
      <c r="O213" s="2" t="s">
        <v>2747</v>
      </c>
      <c r="P213" s="2" t="s">
        <v>1026</v>
      </c>
    </row>
    <row r="214">
      <c r="A214" s="2">
        <v>211</v>
      </c>
      <c r="B214" s="2" t="s">
        <v>117</v>
      </c>
      <c r="C214" s="2" t="s">
        <v>1226</v>
      </c>
      <c r="D214" s="2" t="s">
        <v>2719</v>
      </c>
      <c r="E214" s="2" t="s">
        <v>72</v>
      </c>
      <c r="F214" s="2">
        <v>0</v>
      </c>
      <c r="G214" s="2">
        <v>2</v>
      </c>
      <c r="H214" s="2">
        <v>0</v>
      </c>
      <c r="I214" s="2">
        <v>1</v>
      </c>
      <c r="J214" s="2">
        <v>1</v>
      </c>
      <c r="K214" s="2">
        <f t="shared" si="4"/>
        <v>4</v>
      </c>
      <c r="L214" s="2" t="s">
        <v>25</v>
      </c>
      <c r="M214" s="2" t="s">
        <v>1572</v>
      </c>
      <c r="N214" s="2" t="s">
        <v>2746</v>
      </c>
      <c r="O214" s="2" t="s">
        <v>2747</v>
      </c>
      <c r="P214" s="2" t="s">
        <v>1229</v>
      </c>
    </row>
    <row r="215">
      <c r="A215" s="2">
        <v>240</v>
      </c>
      <c r="B215" s="2" t="s">
        <v>56</v>
      </c>
      <c r="C215" s="2" t="s">
        <v>1375</v>
      </c>
      <c r="D215" s="2" t="s">
        <v>2719</v>
      </c>
      <c r="E215" s="2" t="s">
        <v>72</v>
      </c>
      <c r="F215" s="2">
        <v>0</v>
      </c>
      <c r="G215" s="2">
        <v>2</v>
      </c>
      <c r="H215" s="2">
        <v>0</v>
      </c>
      <c r="I215" s="2">
        <v>0</v>
      </c>
      <c r="J215" s="2">
        <v>2</v>
      </c>
      <c r="K215" s="2">
        <f t="shared" si="4"/>
        <v>4</v>
      </c>
      <c r="L215" s="2" t="s">
        <v>25</v>
      </c>
      <c r="M215" s="2" t="s">
        <v>1572</v>
      </c>
      <c r="N215" s="2" t="s">
        <v>2746</v>
      </c>
      <c r="O215" s="2" t="s">
        <v>2747</v>
      </c>
      <c r="P215" s="2" t="s">
        <v>1378</v>
      </c>
    </row>
    <row r="216">
      <c r="A216" s="2">
        <v>185</v>
      </c>
      <c r="B216" s="2" t="s">
        <v>41</v>
      </c>
      <c r="C216" s="2" t="s">
        <v>1086</v>
      </c>
      <c r="D216" s="2" t="s">
        <v>2719</v>
      </c>
      <c r="E216" s="2" t="s">
        <v>72</v>
      </c>
      <c r="F216" s="2">
        <v>0</v>
      </c>
      <c r="G216" s="2">
        <v>2</v>
      </c>
      <c r="H216" s="2">
        <v>0</v>
      </c>
      <c r="I216" s="2">
        <v>1</v>
      </c>
      <c r="J216" s="2">
        <v>1</v>
      </c>
      <c r="K216" s="2">
        <f t="shared" si="4"/>
        <v>4</v>
      </c>
      <c r="L216" s="2" t="s">
        <v>25</v>
      </c>
      <c r="M216" s="2" t="s">
        <v>1572</v>
      </c>
      <c r="N216" s="2" t="s">
        <v>2746</v>
      </c>
      <c r="O216" s="2" t="s">
        <v>2747</v>
      </c>
      <c r="P216" s="2" t="s">
        <v>1090</v>
      </c>
    </row>
    <row r="217">
      <c r="A217" s="2">
        <v>93</v>
      </c>
      <c r="B217" s="2" t="s">
        <v>239</v>
      </c>
      <c r="C217" s="2" t="s">
        <v>579</v>
      </c>
      <c r="D217" s="2" t="s">
        <v>2724</v>
      </c>
      <c r="E217" s="2" t="s">
        <v>26</v>
      </c>
      <c r="F217" s="2">
        <v>0</v>
      </c>
      <c r="G217" s="2">
        <v>2</v>
      </c>
      <c r="H217" s="2">
        <v>1</v>
      </c>
      <c r="I217" s="2">
        <v>0</v>
      </c>
      <c r="J217" s="2">
        <v>1</v>
      </c>
      <c r="K217" s="2">
        <f t="shared" si="4"/>
        <v>4</v>
      </c>
      <c r="L217" s="2" t="s">
        <v>25</v>
      </c>
      <c r="M217" s="2" t="s">
        <v>1572</v>
      </c>
      <c r="N217" s="2" t="s">
        <v>2746</v>
      </c>
      <c r="O217" s="2" t="s">
        <v>2747</v>
      </c>
      <c r="P217" s="2" t="s">
        <v>583</v>
      </c>
    </row>
    <row r="218">
      <c r="A218" s="2">
        <v>122</v>
      </c>
      <c r="B218" s="2" t="s">
        <v>82</v>
      </c>
      <c r="C218" s="2" t="s">
        <v>743</v>
      </c>
      <c r="D218" s="2" t="s">
        <v>2724</v>
      </c>
      <c r="E218" s="2" t="s">
        <v>26</v>
      </c>
      <c r="F218" s="2">
        <v>0</v>
      </c>
      <c r="G218" s="2">
        <v>2</v>
      </c>
      <c r="H218" s="2">
        <v>0</v>
      </c>
      <c r="I218" s="2">
        <v>1</v>
      </c>
      <c r="J218" s="2">
        <v>1</v>
      </c>
      <c r="K218" s="2">
        <f t="shared" si="4"/>
        <v>4</v>
      </c>
      <c r="L218" s="2" t="s">
        <v>25</v>
      </c>
      <c r="M218" s="2" t="s">
        <v>1572</v>
      </c>
      <c r="N218" s="2" t="s">
        <v>2746</v>
      </c>
      <c r="O218" s="2" t="s">
        <v>2747</v>
      </c>
      <c r="P218" s="2" t="s">
        <v>747</v>
      </c>
    </row>
    <row r="219">
      <c r="A219" s="2">
        <v>250</v>
      </c>
      <c r="B219" s="2" t="s">
        <v>192</v>
      </c>
      <c r="C219" s="2" t="s">
        <v>1430</v>
      </c>
      <c r="D219" s="2" t="s">
        <v>2719</v>
      </c>
      <c r="E219" s="2" t="s">
        <v>26</v>
      </c>
      <c r="F219" s="2">
        <v>0</v>
      </c>
      <c r="G219" s="2">
        <v>2</v>
      </c>
      <c r="H219" s="2">
        <v>0</v>
      </c>
      <c r="I219" s="2">
        <v>0</v>
      </c>
      <c r="J219" s="2">
        <v>1</v>
      </c>
      <c r="K219" s="2">
        <f t="shared" si="4"/>
        <v>3</v>
      </c>
      <c r="L219" s="2" t="s">
        <v>25</v>
      </c>
      <c r="M219" s="2" t="s">
        <v>1572</v>
      </c>
      <c r="N219" s="2" t="s">
        <v>2746</v>
      </c>
      <c r="O219" s="2" t="s">
        <v>2747</v>
      </c>
      <c r="P219" s="2" t="s">
        <v>1433</v>
      </c>
    </row>
    <row r="220">
      <c r="A220" s="2">
        <v>195</v>
      </c>
      <c r="B220" s="2" t="s">
        <v>117</v>
      </c>
      <c r="C220" s="2" t="s">
        <v>1138</v>
      </c>
      <c r="D220" s="2" t="s">
        <v>2719</v>
      </c>
      <c r="E220" s="2" t="s">
        <v>72</v>
      </c>
      <c r="F220" s="2">
        <v>0</v>
      </c>
      <c r="G220" s="2">
        <v>2</v>
      </c>
      <c r="H220" s="2">
        <v>0</v>
      </c>
      <c r="I220" s="2">
        <v>0</v>
      </c>
      <c r="J220" s="2">
        <v>1</v>
      </c>
      <c r="K220" s="2">
        <f t="shared" si="4"/>
        <v>3</v>
      </c>
      <c r="L220" s="2" t="s">
        <v>25</v>
      </c>
      <c r="M220" s="2" t="s">
        <v>1572</v>
      </c>
      <c r="N220" s="2" t="s">
        <v>2746</v>
      </c>
      <c r="O220" s="2" t="s">
        <v>2747</v>
      </c>
      <c r="P220" s="2" t="s">
        <v>1140</v>
      </c>
    </row>
    <row r="221">
      <c r="A221" s="2">
        <v>207</v>
      </c>
      <c r="B221" s="2" t="s">
        <v>192</v>
      </c>
      <c r="C221" s="2" t="s">
        <v>1205</v>
      </c>
      <c r="D221" s="2" t="s">
        <v>2719</v>
      </c>
      <c r="E221" s="2" t="s">
        <v>72</v>
      </c>
      <c r="F221" s="2">
        <v>0</v>
      </c>
      <c r="G221" s="2">
        <v>2</v>
      </c>
      <c r="H221" s="2">
        <v>0</v>
      </c>
      <c r="I221" s="2">
        <v>0</v>
      </c>
      <c r="J221" s="2">
        <v>1</v>
      </c>
      <c r="K221" s="2">
        <f t="shared" si="4"/>
        <v>3</v>
      </c>
      <c r="L221" s="2" t="s">
        <v>25</v>
      </c>
      <c r="M221" s="2" t="s">
        <v>1572</v>
      </c>
      <c r="N221" s="2" t="s">
        <v>2746</v>
      </c>
      <c r="O221" s="2" t="s">
        <v>2747</v>
      </c>
      <c r="P221" s="2" t="s">
        <v>1207</v>
      </c>
    </row>
    <row r="222">
      <c r="A222" s="2">
        <v>187</v>
      </c>
      <c r="B222" s="2" t="s">
        <v>41</v>
      </c>
      <c r="C222" s="2" t="s">
        <v>1098</v>
      </c>
      <c r="D222" s="2" t="s">
        <v>2719</v>
      </c>
      <c r="E222" s="2" t="s">
        <v>26</v>
      </c>
      <c r="F222" s="2">
        <v>0</v>
      </c>
      <c r="G222" s="2">
        <v>2</v>
      </c>
      <c r="H222" s="2">
        <v>0</v>
      </c>
      <c r="I222" s="2">
        <v>0</v>
      </c>
      <c r="J222" s="2">
        <v>1</v>
      </c>
      <c r="K222" s="2">
        <f t="shared" si="4"/>
        <v>3</v>
      </c>
      <c r="L222" s="2" t="s">
        <v>25</v>
      </c>
      <c r="M222" s="2" t="s">
        <v>1572</v>
      </c>
      <c r="N222" s="2" t="s">
        <v>2746</v>
      </c>
      <c r="O222" s="2" t="s">
        <v>2747</v>
      </c>
      <c r="P222" s="2" t="s">
        <v>1100</v>
      </c>
    </row>
    <row r="223">
      <c r="A223" s="2">
        <v>258</v>
      </c>
      <c r="B223" s="2" t="s">
        <v>1471</v>
      </c>
      <c r="C223" s="2" t="s">
        <v>1472</v>
      </c>
      <c r="D223" s="2" t="s">
        <v>2719</v>
      </c>
      <c r="E223" s="2" t="s">
        <v>72</v>
      </c>
      <c r="F223" s="2">
        <v>0</v>
      </c>
      <c r="G223" s="2">
        <v>1</v>
      </c>
      <c r="H223" s="2">
        <v>1</v>
      </c>
      <c r="I223" s="2">
        <v>0</v>
      </c>
      <c r="J223" s="2">
        <v>1</v>
      </c>
      <c r="K223" s="2">
        <f t="shared" si="4"/>
        <v>3</v>
      </c>
      <c r="L223" s="2" t="s">
        <v>25</v>
      </c>
      <c r="M223" s="2" t="s">
        <v>1572</v>
      </c>
      <c r="N223" s="2" t="s">
        <v>2746</v>
      </c>
      <c r="O223" s="2" t="s">
        <v>2747</v>
      </c>
      <c r="P223" s="2" t="s">
        <v>1474</v>
      </c>
    </row>
    <row r="224">
      <c r="A224" s="2">
        <v>222</v>
      </c>
      <c r="B224" s="2" t="s">
        <v>131</v>
      </c>
      <c r="C224" s="2" t="s">
        <v>1284</v>
      </c>
      <c r="D224" s="2" t="s">
        <v>2719</v>
      </c>
      <c r="E224" s="2" t="s">
        <v>72</v>
      </c>
      <c r="F224" s="2">
        <v>0</v>
      </c>
      <c r="G224" s="2">
        <v>1</v>
      </c>
      <c r="H224" s="2">
        <v>0</v>
      </c>
      <c r="I224" s="2">
        <v>1</v>
      </c>
      <c r="J224" s="2">
        <v>1</v>
      </c>
      <c r="K224" s="2">
        <f t="shared" si="4"/>
        <v>3</v>
      </c>
      <c r="L224" s="2" t="s">
        <v>25</v>
      </c>
      <c r="M224" s="2" t="s">
        <v>1572</v>
      </c>
      <c r="N224" s="2" t="s">
        <v>2746</v>
      </c>
      <c r="O224" s="2" t="s">
        <v>2747</v>
      </c>
      <c r="P224" s="2" t="s">
        <v>1286</v>
      </c>
    </row>
    <row r="225">
      <c r="A225" s="2">
        <v>168</v>
      </c>
      <c r="B225" s="2" t="s">
        <v>82</v>
      </c>
      <c r="C225" s="2" t="s">
        <v>979</v>
      </c>
      <c r="D225" s="2" t="s">
        <v>2719</v>
      </c>
      <c r="E225" s="2" t="s">
        <v>26</v>
      </c>
      <c r="F225" s="2">
        <v>0</v>
      </c>
      <c r="G225" s="2">
        <v>1</v>
      </c>
      <c r="H225" s="2">
        <v>0</v>
      </c>
      <c r="I225" s="2">
        <v>1</v>
      </c>
      <c r="J225" s="2">
        <v>1</v>
      </c>
      <c r="K225" s="2">
        <f t="shared" si="4"/>
        <v>3</v>
      </c>
      <c r="L225" s="2" t="s">
        <v>25</v>
      </c>
      <c r="M225" s="2" t="s">
        <v>1572</v>
      </c>
      <c r="N225" s="2" t="s">
        <v>2746</v>
      </c>
      <c r="O225" s="2" t="s">
        <v>2747</v>
      </c>
      <c r="P225" s="2" t="s">
        <v>988</v>
      </c>
    </row>
    <row r="226">
      <c r="A226" s="2">
        <v>252</v>
      </c>
      <c r="B226" s="2" t="s">
        <v>56</v>
      </c>
      <c r="C226" s="2" t="s">
        <v>1440</v>
      </c>
      <c r="D226" s="2" t="s">
        <v>2719</v>
      </c>
      <c r="E226" s="2" t="s">
        <v>72</v>
      </c>
      <c r="F226" s="2">
        <v>0</v>
      </c>
      <c r="G226" s="2">
        <v>2</v>
      </c>
      <c r="H226" s="2">
        <v>0</v>
      </c>
      <c r="I226" s="2">
        <v>0</v>
      </c>
      <c r="J226" s="2">
        <v>1</v>
      </c>
      <c r="K226" s="2">
        <f t="shared" si="4"/>
        <v>3</v>
      </c>
      <c r="L226" s="2" t="s">
        <v>25</v>
      </c>
      <c r="M226" s="2" t="s">
        <v>1572</v>
      </c>
      <c r="N226" s="2" t="s">
        <v>2746</v>
      </c>
      <c r="O226" s="2" t="s">
        <v>2747</v>
      </c>
      <c r="P226" s="2" t="s">
        <v>1443</v>
      </c>
    </row>
    <row r="227">
      <c r="A227" s="2">
        <v>231</v>
      </c>
      <c r="B227" s="2" t="s">
        <v>239</v>
      </c>
      <c r="C227" s="2" t="s">
        <v>1329</v>
      </c>
      <c r="D227" s="2" t="s">
        <v>2719</v>
      </c>
      <c r="E227" s="2" t="s">
        <v>72</v>
      </c>
      <c r="F227" s="2">
        <v>0</v>
      </c>
      <c r="G227" s="2">
        <v>2</v>
      </c>
      <c r="H227" s="2">
        <v>0</v>
      </c>
      <c r="I227" s="2">
        <v>0</v>
      </c>
      <c r="J227" s="2">
        <v>1</v>
      </c>
      <c r="K227" s="2">
        <f t="shared" si="4"/>
        <v>3</v>
      </c>
      <c r="L227" s="2" t="s">
        <v>25</v>
      </c>
      <c r="M227" s="2" t="s">
        <v>1572</v>
      </c>
      <c r="N227" s="2" t="s">
        <v>2746</v>
      </c>
      <c r="O227" s="2" t="s">
        <v>2747</v>
      </c>
      <c r="P227" s="2" t="s">
        <v>1331</v>
      </c>
    </row>
    <row r="228">
      <c r="A228" s="2">
        <v>216</v>
      </c>
      <c r="B228" s="2" t="s">
        <v>476</v>
      </c>
      <c r="C228" s="2" t="s">
        <v>1254</v>
      </c>
      <c r="D228" s="2" t="s">
        <v>2719</v>
      </c>
      <c r="E228" s="2" t="s">
        <v>72</v>
      </c>
      <c r="F228" s="2">
        <v>0</v>
      </c>
      <c r="G228" s="2">
        <v>2</v>
      </c>
      <c r="H228" s="2">
        <v>0</v>
      </c>
      <c r="I228" s="2">
        <v>0</v>
      </c>
      <c r="J228" s="2">
        <v>1</v>
      </c>
      <c r="K228" s="2">
        <f t="shared" ref="K228:K232" si="5">SUM(F228:J228)</f>
        <v>3</v>
      </c>
      <c r="L228" s="2" t="s">
        <v>25</v>
      </c>
      <c r="M228" s="2" t="s">
        <v>1572</v>
      </c>
      <c r="N228" s="2" t="s">
        <v>2746</v>
      </c>
      <c r="O228" s="2" t="s">
        <v>2747</v>
      </c>
      <c r="P228" s="2" t="s">
        <v>1256</v>
      </c>
    </row>
    <row r="229">
      <c r="A229" s="2">
        <v>253</v>
      </c>
      <c r="B229" s="2" t="s">
        <v>646</v>
      </c>
      <c r="C229" s="2" t="s">
        <v>1445</v>
      </c>
      <c r="D229" s="2" t="s">
        <v>2719</v>
      </c>
      <c r="E229" s="2" t="s">
        <v>72</v>
      </c>
      <c r="F229" s="2">
        <v>0</v>
      </c>
      <c r="G229" s="2">
        <v>1</v>
      </c>
      <c r="H229" s="2">
        <v>0</v>
      </c>
      <c r="I229" s="2">
        <v>1</v>
      </c>
      <c r="J229" s="2">
        <v>1</v>
      </c>
      <c r="K229" s="2">
        <f t="shared" si="5"/>
        <v>3</v>
      </c>
      <c r="L229" s="2" t="s">
        <v>25</v>
      </c>
      <c r="M229" s="2" t="s">
        <v>1572</v>
      </c>
      <c r="N229" s="2" t="s">
        <v>2746</v>
      </c>
      <c r="O229" s="2" t="s">
        <v>2747</v>
      </c>
      <c r="P229" s="2" t="s">
        <v>1448</v>
      </c>
    </row>
    <row r="230">
      <c r="A230" s="2">
        <v>249</v>
      </c>
      <c r="B230" s="2" t="s">
        <v>131</v>
      </c>
      <c r="C230" s="2" t="s">
        <v>1426</v>
      </c>
      <c r="D230" s="2" t="s">
        <v>2719</v>
      </c>
      <c r="E230" s="2" t="s">
        <v>72</v>
      </c>
      <c r="F230" s="2">
        <v>0</v>
      </c>
      <c r="G230" s="2">
        <v>1</v>
      </c>
      <c r="H230" s="2">
        <v>0</v>
      </c>
      <c r="I230" s="2">
        <v>0</v>
      </c>
      <c r="J230" s="2">
        <v>1</v>
      </c>
      <c r="K230" s="2">
        <f t="shared" si="5"/>
        <v>2</v>
      </c>
      <c r="L230" s="2" t="s">
        <v>25</v>
      </c>
      <c r="M230" s="2" t="s">
        <v>1572</v>
      </c>
      <c r="N230" s="2" t="s">
        <v>2746</v>
      </c>
      <c r="O230" s="2" t="s">
        <v>2747</v>
      </c>
      <c r="P230" s="2" t="s">
        <v>1428</v>
      </c>
    </row>
    <row r="231">
      <c r="A231" s="2">
        <v>191</v>
      </c>
      <c r="B231" s="2" t="s">
        <v>22</v>
      </c>
      <c r="C231" s="2" t="s">
        <v>1119</v>
      </c>
      <c r="D231" s="2" t="s">
        <v>2719</v>
      </c>
      <c r="E231" s="2" t="s">
        <v>26</v>
      </c>
      <c r="F231" s="2">
        <v>0</v>
      </c>
      <c r="G231" s="2">
        <v>1</v>
      </c>
      <c r="H231" s="2">
        <v>0</v>
      </c>
      <c r="I231" s="2">
        <v>0</v>
      </c>
      <c r="J231" s="2">
        <v>1</v>
      </c>
      <c r="K231" s="2">
        <f t="shared" si="5"/>
        <v>2</v>
      </c>
      <c r="L231" s="2" t="s">
        <v>25</v>
      </c>
      <c r="M231" s="2" t="s">
        <v>1572</v>
      </c>
      <c r="N231" s="2" t="s">
        <v>2746</v>
      </c>
      <c r="O231" s="2" t="s">
        <v>2747</v>
      </c>
      <c r="P231" s="2" t="s">
        <v>1121</v>
      </c>
    </row>
    <row r="232">
      <c r="A232" s="2">
        <v>205</v>
      </c>
      <c r="B232" s="2" t="s">
        <v>239</v>
      </c>
      <c r="C232" s="2" t="s">
        <v>1196</v>
      </c>
      <c r="D232" s="2" t="s">
        <v>2719</v>
      </c>
      <c r="E232" s="2" t="s">
        <v>72</v>
      </c>
      <c r="F232" s="2">
        <v>0</v>
      </c>
      <c r="G232" s="2">
        <v>1</v>
      </c>
      <c r="H232" s="2">
        <v>0</v>
      </c>
      <c r="I232" s="2">
        <v>0</v>
      </c>
      <c r="J232" s="2">
        <v>1</v>
      </c>
      <c r="K232" s="2">
        <f t="shared" si="5"/>
        <v>2</v>
      </c>
      <c r="L232" s="2" t="s">
        <v>25</v>
      </c>
      <c r="M232" s="2" t="s">
        <v>1572</v>
      </c>
      <c r="N232" s="2" t="s">
        <v>2746</v>
      </c>
      <c r="O232" s="2" t="s">
        <v>2747</v>
      </c>
      <c r="P232" s="2" t="s">
        <v>1197</v>
      </c>
    </row>
  </sheetData>
  <conditionalFormatting sqref="K2:K232">
    <cfRule type="colorScale" priority="5">
      <colorScale>
        <cfvo type="min"/>
        <cfvo type="percentile" val="50"/>
        <cfvo type="max"/>
        <color rgb="FFF4CCCC"/>
        <color rgb="FFFFF2CC"/>
        <color rgb="FFD9EAD3"/>
      </colorScale>
    </cfRule>
  </conditionalFormatting>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00D5001C-001A-4A79-B0DF-00CB00BA00BB}">
            <xm:f>$M2="A — Must read"</xm:f>
            <x14:dxf>
              <font>
                <b/>
              </font>
              <fill>
                <patternFill patternType="solid">
                  <fgColor rgb="FFD9EAD3"/>
                  <bgColor rgb="FFD9EAD3"/>
                </patternFill>
              </fill>
            </x14:dxf>
          </x14:cfRule>
          <xm:sqref>M2:M232</xm:sqref>
        </x14:conditionalFormatting>
        <x14:conditionalFormatting xmlns:xm="http://schemas.microsoft.com/office/excel/2006/main">
          <x14:cfRule type="expression" priority="2" id="{0081005C-0024-48B2-B238-002600D7001E}">
            <xm:f>$M2="B — Targeted skim"</xm:f>
            <x14:dxf>
              <fill>
                <patternFill patternType="solid">
                  <fgColor rgb="FFFFF2CC"/>
                  <bgColor rgb="FFFFF2CC"/>
                </patternFill>
              </fill>
            </x14:dxf>
          </x14:cfRule>
          <xm:sqref>M2:M232</xm:sqref>
        </x14:conditionalFormatting>
        <x14:conditionalFormatting xmlns:xm="http://schemas.microsoft.com/office/excel/2006/main">
          <x14:cfRule type="expression" priority="3" id="{003E008D-0019-4B34-A0D4-00F700F30057}">
            <xm:f>$M2="C — Background only"</xm:f>
            <x14:dxf>
              <fill>
                <patternFill patternType="solid">
                  <fgColor rgb="FFE7E6E6"/>
                  <bgColor rgb="FFE7E6E6"/>
                </patternFill>
              </fill>
            </x14:dxf>
          </x14:cfRule>
          <xm:sqref>M2:M232</xm:sqref>
        </x14:conditionalFormatting>
        <x14:conditionalFormatting xmlns:xm="http://schemas.microsoft.com/office/excel/2006/main">
          <x14:cfRule type="expression" priority="4" id="{007B000A-00B0-4EEC-B33B-00E500AC00B3}">
            <xm:f>$L2="Yes"</xm:f>
            <x14:dxf>
              <font>
                <b/>
              </font>
              <fill>
                <patternFill patternType="solid">
                  <fgColor rgb="FFFCE5CD"/>
                  <bgColor rgb="FFFCE5CD"/>
                </patternFill>
              </fill>
            </x14:dxf>
          </x14:cfRule>
          <xm:sqref>L2:L232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24" zoomScale="100" workbookViewId="0">
      <selection activeCell="A1" activeCellId="0" sqref="A1"/>
    </sheetView>
  </sheetViews>
  <sheetFormatPr defaultRowHeight="15"/>
  <cols>
    <col customWidth="1" min="1" max="1" width="11"/>
    <col customWidth="1" min="2" max="2" width="6"/>
    <col customWidth="1" min="3" max="3" width="8"/>
    <col customWidth="1" min="4" max="4" width="58"/>
    <col customWidth="1" min="5" max="5" width="31"/>
    <col customWidth="1" min="6" max="6" width="24"/>
    <col customWidth="1" min="7" max="7" width="12"/>
    <col customWidth="1" min="8" max="8" width="74"/>
    <col customWidth="1" min="9" max="10" width="34"/>
  </cols>
  <sheetData>
    <row r="1">
      <c r="A1" s="6" t="s">
        <v>2748</v>
      </c>
      <c r="B1" s="6"/>
      <c r="C1" s="6"/>
      <c r="D1" s="6"/>
      <c r="E1" s="6"/>
      <c r="F1" s="6"/>
      <c r="G1" s="6"/>
      <c r="H1" s="6"/>
      <c r="I1" s="6"/>
      <c r="J1" s="6"/>
    </row>
    <row r="2">
      <c r="A2" s="2" t="s">
        <v>2749</v>
      </c>
      <c r="B2" s="2"/>
      <c r="C2" s="2"/>
      <c r="D2" s="2"/>
      <c r="E2" s="2"/>
      <c r="F2" s="2"/>
      <c r="G2" s="2"/>
      <c r="H2" s="2"/>
      <c r="I2" s="2"/>
      <c r="J2" s="2"/>
    </row>
    <row r="3">
      <c r="A3" s="2"/>
      <c r="B3" s="2"/>
      <c r="C3" s="2"/>
      <c r="D3" s="2"/>
      <c r="E3" s="2"/>
      <c r="F3" s="2"/>
      <c r="G3" s="2"/>
      <c r="H3" s="2"/>
      <c r="I3" s="2"/>
      <c r="J3" s="2"/>
    </row>
    <row r="5">
      <c r="A5" s="1" t="s">
        <v>2750</v>
      </c>
      <c r="B5" s="1" t="s">
        <v>0</v>
      </c>
      <c r="C5" s="1" t="s">
        <v>1</v>
      </c>
      <c r="D5" s="1" t="s">
        <v>2</v>
      </c>
      <c r="E5" s="1" t="s">
        <v>2751</v>
      </c>
      <c r="F5" s="1" t="s">
        <v>2752</v>
      </c>
      <c r="G5" s="1" t="s">
        <v>2753</v>
      </c>
      <c r="H5" s="1" t="s">
        <v>2754</v>
      </c>
      <c r="I5" s="1" t="s">
        <v>3</v>
      </c>
      <c r="J5" s="1" t="s">
        <v>19</v>
      </c>
    </row>
    <row r="6">
      <c r="A6" s="2">
        <v>1</v>
      </c>
      <c r="B6" s="2">
        <v>24</v>
      </c>
      <c r="C6" s="2" t="s">
        <v>41</v>
      </c>
      <c r="D6" s="2" t="s">
        <v>214</v>
      </c>
      <c r="E6" s="2" t="s">
        <v>2755</v>
      </c>
      <c r="F6" s="2" t="s">
        <v>2756</v>
      </c>
      <c r="G6" s="2">
        <v>9</v>
      </c>
      <c r="H6" s="2" t="s">
        <v>2708</v>
      </c>
      <c r="I6" s="2" t="s">
        <v>24</v>
      </c>
      <c r="J6" s="10" t="s">
        <v>219</v>
      </c>
    </row>
    <row r="7">
      <c r="A7" s="2">
        <v>2</v>
      </c>
      <c r="B7" s="2">
        <v>80</v>
      </c>
      <c r="C7" s="2" t="s">
        <v>41</v>
      </c>
      <c r="D7" s="2" t="s">
        <v>509</v>
      </c>
      <c r="E7" s="2" t="s">
        <v>2757</v>
      </c>
      <c r="F7" s="2" t="s">
        <v>2758</v>
      </c>
      <c r="G7" s="2">
        <v>8</v>
      </c>
      <c r="H7" s="2" t="s">
        <v>2730</v>
      </c>
      <c r="I7" s="2" t="s">
        <v>24</v>
      </c>
      <c r="J7" s="2" t="s">
        <v>512</v>
      </c>
    </row>
    <row r="8">
      <c r="A8" s="2">
        <v>3</v>
      </c>
      <c r="B8" s="2">
        <v>41</v>
      </c>
      <c r="C8" s="2" t="s">
        <v>221</v>
      </c>
      <c r="D8" s="2" t="s">
        <v>313</v>
      </c>
      <c r="E8" s="2" t="s">
        <v>2757</v>
      </c>
      <c r="F8" s="2" t="s">
        <v>2758</v>
      </c>
      <c r="G8" s="2">
        <v>8</v>
      </c>
      <c r="H8" s="2" t="s">
        <v>2731</v>
      </c>
      <c r="I8" s="2" t="s">
        <v>24</v>
      </c>
      <c r="J8" s="10" t="s">
        <v>315</v>
      </c>
    </row>
    <row r="9">
      <c r="A9" s="2">
        <v>4</v>
      </c>
      <c r="B9" s="2">
        <v>1</v>
      </c>
      <c r="C9" s="2" t="s">
        <v>22</v>
      </c>
      <c r="D9" s="2" t="s">
        <v>23</v>
      </c>
      <c r="E9" s="2" t="s">
        <v>2704</v>
      </c>
      <c r="F9" s="2" t="s">
        <v>2759</v>
      </c>
      <c r="G9" s="2">
        <v>9</v>
      </c>
      <c r="H9" s="2" t="s">
        <v>2718</v>
      </c>
      <c r="I9" s="2" t="s">
        <v>24</v>
      </c>
      <c r="J9" s="10" t="s">
        <v>39</v>
      </c>
    </row>
    <row r="10">
      <c r="A10" s="2">
        <v>5</v>
      </c>
      <c r="B10" s="2">
        <v>73</v>
      </c>
      <c r="C10" s="2" t="s">
        <v>476</v>
      </c>
      <c r="D10" s="2" t="s">
        <v>477</v>
      </c>
      <c r="E10" s="2" t="s">
        <v>2704</v>
      </c>
      <c r="F10" s="2" t="s">
        <v>2759</v>
      </c>
      <c r="G10" s="2">
        <v>8</v>
      </c>
      <c r="H10" s="2" t="s">
        <v>2728</v>
      </c>
      <c r="I10" s="2" t="s">
        <v>24</v>
      </c>
      <c r="J10" s="10" t="s">
        <v>480</v>
      </c>
    </row>
    <row r="11">
      <c r="A11" s="2">
        <v>6</v>
      </c>
      <c r="B11" s="2">
        <v>25</v>
      </c>
      <c r="C11" s="2" t="s">
        <v>221</v>
      </c>
      <c r="D11" s="2" t="s">
        <v>222</v>
      </c>
      <c r="E11" s="2" t="s">
        <v>2704</v>
      </c>
      <c r="F11" s="2" t="s">
        <v>2760</v>
      </c>
      <c r="G11" s="2">
        <v>9</v>
      </c>
      <c r="H11" s="2" t="s">
        <v>2717</v>
      </c>
      <c r="I11" s="2" t="s">
        <v>24</v>
      </c>
      <c r="J11" s="10" t="s">
        <v>226</v>
      </c>
    </row>
    <row r="12">
      <c r="A12" s="2">
        <v>7</v>
      </c>
      <c r="B12" s="2">
        <v>48</v>
      </c>
      <c r="C12" s="2" t="s">
        <v>110</v>
      </c>
      <c r="D12" s="2" t="s">
        <v>347</v>
      </c>
      <c r="E12" s="2" t="s">
        <v>2704</v>
      </c>
      <c r="F12" s="2" t="s">
        <v>2760</v>
      </c>
      <c r="G12" s="2">
        <v>9</v>
      </c>
      <c r="H12" s="2" t="s">
        <v>2714</v>
      </c>
      <c r="I12" s="2" t="s">
        <v>24</v>
      </c>
      <c r="J12" s="10" t="s">
        <v>350</v>
      </c>
    </row>
    <row r="13">
      <c r="A13" s="2">
        <v>8</v>
      </c>
      <c r="B13" s="2">
        <v>52</v>
      </c>
      <c r="C13" s="2" t="s">
        <v>192</v>
      </c>
      <c r="D13" s="2" t="s">
        <v>365</v>
      </c>
      <c r="E13" s="2" t="s">
        <v>2704</v>
      </c>
      <c r="F13" s="2" t="s">
        <v>2761</v>
      </c>
      <c r="G13" s="2">
        <v>9</v>
      </c>
      <c r="H13" s="2" t="s">
        <v>2713</v>
      </c>
      <c r="I13" s="2" t="s">
        <v>24</v>
      </c>
      <c r="J13" s="2" t="s">
        <v>368</v>
      </c>
    </row>
    <row r="14">
      <c r="A14" s="2">
        <v>9</v>
      </c>
      <c r="B14" s="2">
        <v>66</v>
      </c>
      <c r="C14" s="2" t="s">
        <v>192</v>
      </c>
      <c r="D14" s="2" t="s">
        <v>439</v>
      </c>
      <c r="E14" s="2" t="s">
        <v>2704</v>
      </c>
      <c r="F14" s="2" t="s">
        <v>2761</v>
      </c>
      <c r="G14" s="2">
        <v>9</v>
      </c>
      <c r="H14" s="2" t="s">
        <v>2711</v>
      </c>
      <c r="I14" s="2" t="s">
        <v>24</v>
      </c>
      <c r="J14" s="10" t="s">
        <v>442</v>
      </c>
    </row>
    <row r="15">
      <c r="A15" s="2">
        <v>10</v>
      </c>
      <c r="B15" s="2">
        <v>85</v>
      </c>
      <c r="C15" s="2" t="s">
        <v>110</v>
      </c>
      <c r="D15" s="2" t="s">
        <v>532</v>
      </c>
      <c r="E15" s="2" t="s">
        <v>2704</v>
      </c>
      <c r="F15" s="2" t="s">
        <v>2762</v>
      </c>
      <c r="G15" s="2">
        <v>10</v>
      </c>
      <c r="H15" s="2" t="s">
        <v>2706</v>
      </c>
      <c r="I15" s="2" t="s">
        <v>24</v>
      </c>
      <c r="J15" s="2" t="s">
        <v>537</v>
      </c>
    </row>
    <row r="16">
      <c r="A16" s="2">
        <v>11</v>
      </c>
      <c r="B16" s="2">
        <v>28</v>
      </c>
      <c r="C16" s="2" t="s">
        <v>239</v>
      </c>
      <c r="D16" s="2" t="s">
        <v>240</v>
      </c>
      <c r="E16" s="2" t="s">
        <v>2704</v>
      </c>
      <c r="F16" s="2" t="s">
        <v>2763</v>
      </c>
      <c r="G16" s="2">
        <v>9</v>
      </c>
      <c r="H16" s="2" t="s">
        <v>2712</v>
      </c>
      <c r="I16" s="2" t="s">
        <v>24</v>
      </c>
      <c r="J16" s="10" t="s">
        <v>246</v>
      </c>
    </row>
    <row r="17">
      <c r="A17" s="2">
        <v>12</v>
      </c>
      <c r="B17" s="2">
        <v>26</v>
      </c>
      <c r="C17" s="2" t="s">
        <v>82</v>
      </c>
      <c r="D17" s="2" t="s">
        <v>228</v>
      </c>
      <c r="E17" s="2" t="s">
        <v>2704</v>
      </c>
      <c r="F17" s="2" t="s">
        <v>2764</v>
      </c>
      <c r="G17" s="2">
        <v>9</v>
      </c>
      <c r="H17" s="2" t="s">
        <v>2715</v>
      </c>
      <c r="I17" s="2" t="s">
        <v>24</v>
      </c>
      <c r="J17" s="10" t="s">
        <v>232</v>
      </c>
    </row>
    <row r="18">
      <c r="A18" s="2">
        <v>13</v>
      </c>
      <c r="B18" s="2">
        <v>35</v>
      </c>
      <c r="C18" s="2" t="s">
        <v>117</v>
      </c>
      <c r="D18" s="2" t="s">
        <v>284</v>
      </c>
      <c r="E18" s="2" t="s">
        <v>2704</v>
      </c>
      <c r="F18" s="2" t="s">
        <v>2765</v>
      </c>
      <c r="G18" s="2">
        <v>9</v>
      </c>
      <c r="H18" s="2" t="s">
        <v>2716</v>
      </c>
      <c r="I18" s="2" t="s">
        <v>43</v>
      </c>
      <c r="J18" s="10" t="s">
        <v>288</v>
      </c>
    </row>
    <row r="19">
      <c r="A19" s="2">
        <v>14</v>
      </c>
      <c r="B19" s="2">
        <v>57</v>
      </c>
      <c r="C19" s="2" t="s">
        <v>41</v>
      </c>
      <c r="D19" s="2" t="s">
        <v>394</v>
      </c>
      <c r="E19" s="2" t="s">
        <v>2704</v>
      </c>
      <c r="F19" s="2" t="s">
        <v>2766</v>
      </c>
      <c r="G19" s="2">
        <v>9</v>
      </c>
      <c r="H19" s="2" t="s">
        <v>2709</v>
      </c>
      <c r="I19" s="2" t="s">
        <v>24</v>
      </c>
      <c r="J19" s="10" t="s">
        <v>398</v>
      </c>
    </row>
    <row r="20">
      <c r="A20" s="2">
        <v>15</v>
      </c>
      <c r="B20" s="2">
        <v>8</v>
      </c>
      <c r="C20" s="2" t="s">
        <v>41</v>
      </c>
      <c r="D20" s="2" t="s">
        <v>103</v>
      </c>
      <c r="E20" s="2" t="s">
        <v>2704</v>
      </c>
      <c r="F20" s="2" t="s">
        <v>2766</v>
      </c>
      <c r="G20" s="2">
        <v>9</v>
      </c>
      <c r="H20" s="2" t="s">
        <v>2710</v>
      </c>
      <c r="I20" s="2" t="s">
        <v>24</v>
      </c>
      <c r="J20" s="10" t="s">
        <v>108</v>
      </c>
    </row>
    <row r="21">
      <c r="A21" s="2">
        <v>16</v>
      </c>
      <c r="B21" s="2">
        <v>53</v>
      </c>
      <c r="C21" s="2" t="s">
        <v>41</v>
      </c>
      <c r="D21" s="2" t="s">
        <v>370</v>
      </c>
      <c r="E21" s="2" t="s">
        <v>2767</v>
      </c>
      <c r="F21" s="2" t="s">
        <v>2768</v>
      </c>
      <c r="G21" s="2">
        <v>8</v>
      </c>
      <c r="H21" s="2" t="s">
        <v>2733</v>
      </c>
      <c r="I21" s="2" t="s">
        <v>43</v>
      </c>
      <c r="J21" s="10" t="s">
        <v>376</v>
      </c>
    </row>
    <row r="22">
      <c r="A22" s="2">
        <v>17</v>
      </c>
      <c r="B22" s="2">
        <v>74</v>
      </c>
      <c r="C22" s="2" t="s">
        <v>82</v>
      </c>
      <c r="D22" s="2" t="s">
        <v>482</v>
      </c>
      <c r="E22" s="2" t="s">
        <v>2767</v>
      </c>
      <c r="F22" s="2" t="s">
        <v>2768</v>
      </c>
      <c r="G22" s="2">
        <v>8</v>
      </c>
      <c r="H22" s="2" t="s">
        <v>2735</v>
      </c>
      <c r="I22" s="2" t="s">
        <v>43</v>
      </c>
      <c r="J22" s="10" t="s">
        <v>485</v>
      </c>
    </row>
    <row r="23">
      <c r="A23" s="2">
        <v>18</v>
      </c>
      <c r="B23" s="2">
        <v>95</v>
      </c>
      <c r="C23" s="2" t="s">
        <v>41</v>
      </c>
      <c r="D23" s="2" t="s">
        <v>589</v>
      </c>
      <c r="E23" s="2" t="s">
        <v>2767</v>
      </c>
      <c r="F23" s="2" t="s">
        <v>2768</v>
      </c>
      <c r="G23" s="2">
        <v>9</v>
      </c>
      <c r="H23" s="2" t="s">
        <v>2725</v>
      </c>
      <c r="I23" s="2" t="s">
        <v>572</v>
      </c>
      <c r="J23" s="10" t="s">
        <v>594</v>
      </c>
    </row>
    <row r="24">
      <c r="A24" s="2">
        <v>19</v>
      </c>
      <c r="B24" s="2">
        <v>102</v>
      </c>
      <c r="C24" s="2" t="s">
        <v>117</v>
      </c>
      <c r="D24" s="2" t="s">
        <v>628</v>
      </c>
      <c r="E24" s="2" t="s">
        <v>2767</v>
      </c>
      <c r="F24" s="2" t="s">
        <v>2768</v>
      </c>
      <c r="G24" s="2">
        <v>8</v>
      </c>
      <c r="H24" s="2" t="s">
        <v>2734</v>
      </c>
      <c r="I24" s="2" t="s">
        <v>572</v>
      </c>
      <c r="J24" s="10" t="s">
        <v>635</v>
      </c>
    </row>
    <row r="25">
      <c r="A25" s="2">
        <v>20</v>
      </c>
      <c r="B25" s="2">
        <v>116</v>
      </c>
      <c r="C25" s="2" t="s">
        <v>82</v>
      </c>
      <c r="D25" s="2" t="s">
        <v>708</v>
      </c>
      <c r="E25" s="2" t="s">
        <v>2767</v>
      </c>
      <c r="F25" s="2" t="s">
        <v>2768</v>
      </c>
      <c r="G25" s="2">
        <v>8</v>
      </c>
      <c r="H25" s="2" t="s">
        <v>2732</v>
      </c>
      <c r="I25" s="2" t="s">
        <v>572</v>
      </c>
      <c r="J25" s="10" t="s">
        <v>712</v>
      </c>
    </row>
    <row r="26">
      <c r="A26" s="2">
        <v>21</v>
      </c>
      <c r="B26" s="2">
        <v>147</v>
      </c>
      <c r="C26" s="2" t="s">
        <v>117</v>
      </c>
      <c r="D26" s="2" t="s">
        <v>871</v>
      </c>
      <c r="E26" s="2" t="s">
        <v>2767</v>
      </c>
      <c r="F26" s="2" t="s">
        <v>2768</v>
      </c>
      <c r="G26" s="2">
        <v>9</v>
      </c>
      <c r="H26" s="2" t="s">
        <v>2727</v>
      </c>
      <c r="I26" s="2" t="s">
        <v>572</v>
      </c>
      <c r="J26" s="10" t="s">
        <v>875</v>
      </c>
    </row>
    <row r="27">
      <c r="A27" s="2">
        <v>22</v>
      </c>
      <c r="B27" s="2">
        <v>161</v>
      </c>
      <c r="C27" s="2" t="s">
        <v>41</v>
      </c>
      <c r="D27" s="2" t="s">
        <v>941</v>
      </c>
      <c r="E27" s="2" t="s">
        <v>2767</v>
      </c>
      <c r="F27" s="2" t="s">
        <v>2768</v>
      </c>
      <c r="G27" s="2">
        <v>9</v>
      </c>
      <c r="H27" s="2" t="s">
        <v>2726</v>
      </c>
      <c r="I27" s="2" t="s">
        <v>572</v>
      </c>
      <c r="J27" s="10" t="s">
        <v>947</v>
      </c>
    </row>
    <row r="28">
      <c r="A28" s="2">
        <v>23</v>
      </c>
      <c r="B28" s="2">
        <v>246</v>
      </c>
      <c r="C28" s="2" t="s">
        <v>110</v>
      </c>
      <c r="D28" s="2" t="s">
        <v>1411</v>
      </c>
      <c r="E28" s="2" t="s">
        <v>2769</v>
      </c>
      <c r="F28" s="2" t="s">
        <v>2770</v>
      </c>
      <c r="G28" s="2">
        <v>9</v>
      </c>
      <c r="H28" s="2" t="s">
        <v>2722</v>
      </c>
      <c r="I28" s="2" t="s">
        <v>980</v>
      </c>
      <c r="J28" s="10" t="s">
        <v>1415</v>
      </c>
    </row>
    <row r="29">
      <c r="A29" s="2">
        <v>24</v>
      </c>
      <c r="B29" s="2">
        <v>230</v>
      </c>
      <c r="C29" s="2" t="s">
        <v>56</v>
      </c>
      <c r="D29" s="2" t="s">
        <v>1325</v>
      </c>
      <c r="E29" s="2" t="s">
        <v>2769</v>
      </c>
      <c r="F29" s="2" t="s">
        <v>2770</v>
      </c>
      <c r="G29" s="2">
        <v>9</v>
      </c>
      <c r="H29" s="2" t="s">
        <v>2723</v>
      </c>
      <c r="I29" s="2" t="s">
        <v>980</v>
      </c>
      <c r="J29" s="10" t="s">
        <v>1327</v>
      </c>
    </row>
    <row r="30">
      <c r="A30" s="2">
        <v>25</v>
      </c>
      <c r="B30" s="2">
        <v>247</v>
      </c>
      <c r="C30" s="2" t="s">
        <v>117</v>
      </c>
      <c r="D30" s="2" t="s">
        <v>1417</v>
      </c>
      <c r="E30" s="2" t="s">
        <v>2769</v>
      </c>
      <c r="F30" s="2" t="s">
        <v>2770</v>
      </c>
      <c r="G30" s="2">
        <v>6</v>
      </c>
      <c r="H30" s="2" t="s">
        <v>2738</v>
      </c>
      <c r="I30" s="2" t="s">
        <v>980</v>
      </c>
      <c r="J30" s="10" t="s">
        <v>1419</v>
      </c>
    </row>
    <row r="31">
      <c r="A31" s="2">
        <v>26</v>
      </c>
      <c r="B31" s="2">
        <v>198</v>
      </c>
      <c r="C31" s="2" t="s">
        <v>117</v>
      </c>
      <c r="D31" s="11" t="s">
        <v>1157</v>
      </c>
      <c r="E31" s="2" t="s">
        <v>2769</v>
      </c>
      <c r="F31" s="2" t="s">
        <v>2770</v>
      </c>
      <c r="G31" s="2">
        <v>9</v>
      </c>
      <c r="H31" s="2" t="s">
        <v>2721</v>
      </c>
      <c r="I31" s="2" t="s">
        <v>980</v>
      </c>
      <c r="J31" s="2"/>
    </row>
    <row r="32">
      <c r="A32" s="2">
        <v>27</v>
      </c>
      <c r="B32" s="2">
        <v>215</v>
      </c>
      <c r="C32" s="2" t="s">
        <v>117</v>
      </c>
      <c r="D32" s="2" t="s">
        <v>1248</v>
      </c>
      <c r="E32" s="2" t="s">
        <v>2769</v>
      </c>
      <c r="F32" s="2" t="s">
        <v>2770</v>
      </c>
      <c r="G32" s="2">
        <v>9</v>
      </c>
      <c r="H32" s="2" t="s">
        <v>2720</v>
      </c>
      <c r="I32" s="2" t="s">
        <v>980</v>
      </c>
      <c r="J32" s="10" t="s">
        <v>1252</v>
      </c>
    </row>
    <row r="33">
      <c r="A33" s="2">
        <v>28</v>
      </c>
      <c r="B33" s="2">
        <v>175</v>
      </c>
      <c r="C33" s="2" t="s">
        <v>117</v>
      </c>
      <c r="D33" s="2" t="s">
        <v>1028</v>
      </c>
      <c r="E33" s="2" t="s">
        <v>2769</v>
      </c>
      <c r="F33" s="2" t="s">
        <v>2771</v>
      </c>
      <c r="G33" s="2">
        <v>6</v>
      </c>
      <c r="H33" s="2" t="s">
        <v>2739</v>
      </c>
      <c r="I33" s="2" t="s">
        <v>980</v>
      </c>
      <c r="J33" s="10" t="s">
        <v>1031</v>
      </c>
    </row>
    <row r="34">
      <c r="A34" s="2">
        <v>29</v>
      </c>
      <c r="B34" s="2">
        <v>177</v>
      </c>
      <c r="C34" s="2" t="s">
        <v>117</v>
      </c>
      <c r="D34" s="2" t="s">
        <v>1039</v>
      </c>
      <c r="E34" s="2" t="s">
        <v>2769</v>
      </c>
      <c r="F34" s="2" t="s">
        <v>2772</v>
      </c>
      <c r="G34" s="2">
        <v>5</v>
      </c>
      <c r="H34" s="2" t="s">
        <v>2740</v>
      </c>
      <c r="I34" s="2" t="s">
        <v>980</v>
      </c>
      <c r="J34" s="10" t="s">
        <v>1043</v>
      </c>
    </row>
    <row r="35">
      <c r="A35" s="2">
        <v>30</v>
      </c>
      <c r="B35" s="2">
        <v>251</v>
      </c>
      <c r="C35" s="2" t="s">
        <v>117</v>
      </c>
      <c r="D35" s="2" t="s">
        <v>1435</v>
      </c>
      <c r="E35" s="2" t="s">
        <v>2769</v>
      </c>
      <c r="F35" s="2" t="s">
        <v>2773</v>
      </c>
      <c r="G35" s="2">
        <v>7</v>
      </c>
      <c r="H35" s="2" t="s">
        <v>2737</v>
      </c>
      <c r="I35" s="2" t="s">
        <v>980</v>
      </c>
      <c r="J35" s="10" t="s">
        <v>1438</v>
      </c>
    </row>
    <row r="36">
      <c r="A36" s="2">
        <v>31</v>
      </c>
      <c r="B36" s="2">
        <v>254</v>
      </c>
      <c r="C36" s="2" t="s">
        <v>41</v>
      </c>
      <c r="D36" s="2" t="s">
        <v>1450</v>
      </c>
      <c r="E36" s="2" t="s">
        <v>2769</v>
      </c>
      <c r="F36" s="2" t="s">
        <v>2774</v>
      </c>
      <c r="G36" s="2">
        <v>7</v>
      </c>
      <c r="H36" s="2" t="s">
        <v>2736</v>
      </c>
      <c r="I36" s="2" t="s">
        <v>980</v>
      </c>
      <c r="J36" s="10" t="s">
        <v>1455</v>
      </c>
    </row>
    <row r="37">
      <c r="A37" s="2">
        <v>32</v>
      </c>
      <c r="B37" s="2">
        <v>255</v>
      </c>
      <c r="C37" s="2" t="s">
        <v>117</v>
      </c>
      <c r="D37" s="2" t="s">
        <v>1457</v>
      </c>
      <c r="E37" s="2" t="s">
        <v>2775</v>
      </c>
      <c r="F37" s="2" t="s">
        <v>2776</v>
      </c>
      <c r="G37" s="2">
        <v>4</v>
      </c>
      <c r="H37" s="2" t="s">
        <v>2741</v>
      </c>
      <c r="I37" s="2" t="s">
        <v>980</v>
      </c>
      <c r="J37" s="10" t="s">
        <v>1459</v>
      </c>
    </row>
    <row r="39">
      <c r="A39" s="5" t="s">
        <v>2777</v>
      </c>
      <c r="B39" s="5"/>
      <c r="C39" s="5"/>
      <c r="D39" s="5"/>
      <c r="E39" s="5"/>
      <c r="F39" s="5"/>
      <c r="G39" s="5"/>
      <c r="H39" s="5"/>
      <c r="I39" s="5"/>
      <c r="J39" s="5"/>
    </row>
    <row r="40">
      <c r="A40" s="2" t="s">
        <v>2778</v>
      </c>
      <c r="B40" s="2"/>
      <c r="C40" s="2"/>
      <c r="D40" s="2"/>
      <c r="E40" s="2"/>
      <c r="F40" s="2"/>
      <c r="G40" s="2"/>
      <c r="H40" s="2"/>
      <c r="I40" s="2"/>
      <c r="J40" s="2"/>
    </row>
    <row r="41">
      <c r="A41" s="2"/>
      <c r="B41" s="2"/>
      <c r="C41" s="2"/>
      <c r="D41" s="2"/>
      <c r="E41" s="2"/>
      <c r="F41" s="2"/>
      <c r="G41" s="2"/>
      <c r="H41" s="2"/>
      <c r="I41" s="2"/>
      <c r="J41" s="2"/>
    </row>
    <row r="42">
      <c r="A42" s="2"/>
      <c r="B42" s="2"/>
      <c r="C42" s="2"/>
      <c r="D42" s="2"/>
      <c r="E42" s="2"/>
      <c r="F42" s="2"/>
      <c r="G42" s="2"/>
      <c r="H42" s="2"/>
      <c r="I42" s="2"/>
      <c r="J42" s="2"/>
    </row>
  </sheetData>
  <mergeCells count="4">
    <mergeCell ref="A1:J1"/>
    <mergeCell ref="A2:J3"/>
    <mergeCell ref="A39:J39"/>
    <mergeCell ref="A40:J42"/>
  </mergeCells>
  <conditionalFormatting sqref="G6:G37">
    <cfRule type="colorScale" priority="1">
      <colorScale>
        <cfvo type="min"/>
        <cfvo type="percentile" val="50"/>
        <cfvo type="max"/>
        <color rgb="FFFFF2CC"/>
        <color rgb="FFD9EAF7"/>
        <color rgb="FFD9EAD3"/>
      </colorScale>
    </cfRule>
  </conditionalFormatting>
  <hyperlinks>
    <hyperlink r:id="rId1" ref="J6"/>
    <hyperlink r:id="rId2" ref="J8"/>
    <hyperlink r:id="rId3" ref="J9"/>
    <hyperlink r:id="rId4" ref="J10"/>
    <hyperlink r:id="rId5" ref="J11"/>
    <hyperlink r:id="rId6" ref="J12"/>
    <hyperlink r:id="rId7" ref="J14"/>
    <hyperlink r:id="rId8" ref="J16"/>
    <hyperlink r:id="rId9" ref="J17"/>
    <hyperlink r:id="rId10" ref="J18"/>
    <hyperlink r:id="rId11" ref="J19"/>
    <hyperlink r:id="rId12" ref="J20"/>
    <hyperlink r:id="rId13" ref="J21"/>
    <hyperlink r:id="rId14" ref="J22"/>
    <hyperlink r:id="rId15" ref="J23"/>
    <hyperlink r:id="rId16" ref="J24"/>
    <hyperlink r:id="rId17" ref="J25"/>
    <hyperlink r:id="rId18" ref="J26"/>
    <hyperlink r:id="rId19" ref="J27"/>
    <hyperlink r:id="rId20" ref="J28"/>
    <hyperlink r:id="rId21" ref="J29"/>
    <hyperlink r:id="rId22" ref="J30"/>
    <hyperlink r:id="rId23" ref="J32"/>
    <hyperlink r:id="rId24" ref="J33"/>
    <hyperlink r:id="rId25" ref="J34"/>
    <hyperlink r:id="rId26" ref="J35"/>
    <hyperlink r:id="rId27" ref="J36"/>
    <hyperlink r:id="rId28" ref="J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29"/>
  </tableParts>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