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bf0de2268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a9bed24a2d043d5"/>
    <x:sheet xmlns:r="http://schemas.openxmlformats.org/officeDocument/2006/relationships" name="Pooled Metrics" sheetId="2" r:id="R1e1be0982a0f4845"/>
    <x:sheet xmlns:r="http://schemas.openxmlformats.org/officeDocument/2006/relationships" name="Fold Metrics" sheetId="3" r:id="R6bb7e926fccb438c"/>
    <x:sheet xmlns:r="http://schemas.openxmlformats.org/officeDocument/2006/relationships" name="Paired Deltas" sheetId="4" r:id="Rb41d2599adfd4729"/>
    <x:sheet xmlns:r="http://schemas.openxmlformats.org/officeDocument/2006/relationships" name="Selected Params" sheetId="5" r:id="R92d65720072144c1"/>
    <x:sheet xmlns:r="http://schemas.openxmlformats.org/officeDocument/2006/relationships" name="Benchmark" sheetId="6" r:id="R10e41621473649c7"/>
    <x:sheet xmlns:r="http://schemas.openxmlformats.org/officeDocument/2006/relationships" name="Baseline Repro" sheetId="7" r:id="Rd7405457e36d42fa"/>
    <x:sheet xmlns:r="http://schemas.openxmlformats.org/officeDocument/2006/relationships" name="CR8 Metrics" sheetId="8" r:id="Ref22807c846148fc"/>
    <x:sheet xmlns:r="http://schemas.openxmlformats.org/officeDocument/2006/relationships" name="CR8 Predictions" sheetId="9" r:id="Rd65806c7db57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+0.0000;-0.0000;0.0000"/>
    <x:numFmt numFmtId="202" formatCode="#,##0"/>
    <x:numFmt numFmtId="203" formatCode="0.0"/>
    <x:numFmt numFmtId="204" formatCode="0.00E+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4F7FA"/>
      </x:patternFill>
    </x:fill>
  </x:fills>
  <x:borders count="17">
    <x:border/>
    <x:border>
      <x:bottom style="double">
        <x:color rgb="FF17324D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double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/>
    <x:xf numFmtId="0" fontId="1" fillId="2" borderId="13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20dd280664e8f" /><Relationship Type="http://schemas.openxmlformats.org/officeDocument/2006/relationships/theme" Target="/xl/theme/theme1.xml" Id="R4d895ee407654155" /><Relationship Type="http://schemas.microsoft.com/office/2022/11/relationships/FeaturePropertyBag" Target="/xl/featurePropertyBag/featurePropertyBag.xml" Id="R363f63e0e6e44857" /><Relationship Type="http://schemas.openxmlformats.org/officeDocument/2006/relationships/sharedStrings" Target="/xl/sharedStrings.xml" Id="R5bb9600f82864ac1" /><Relationship Type="http://schemas.openxmlformats.org/officeDocument/2006/relationships/worksheet" Target="/xl/worksheets/sheet1.xml" Id="R6a9bed24a2d043d5" /><Relationship Type="http://schemas.openxmlformats.org/officeDocument/2006/relationships/worksheet" Target="/xl/worksheets/sheet2.xml" Id="R1e1be0982a0f4845" /><Relationship Type="http://schemas.openxmlformats.org/officeDocument/2006/relationships/worksheet" Target="/xl/worksheets/sheet3.xml" Id="R6bb7e926fccb438c" /><Relationship Type="http://schemas.openxmlformats.org/officeDocument/2006/relationships/worksheet" Target="/xl/worksheets/sheet4.xml" Id="Rb41d2599adfd4729" /><Relationship Type="http://schemas.openxmlformats.org/officeDocument/2006/relationships/worksheet" Target="/xl/worksheets/sheet5.xml" Id="R92d65720072144c1" /><Relationship Type="http://schemas.openxmlformats.org/officeDocument/2006/relationships/worksheet" Target="/xl/worksheets/sheet6.xml" Id="R10e41621473649c7" /><Relationship Type="http://schemas.openxmlformats.org/officeDocument/2006/relationships/worksheet" Target="/xl/worksheets/sheet7.xml" Id="Rd7405457e36d42fa" /><Relationship Type="http://schemas.openxmlformats.org/officeDocument/2006/relationships/worksheet" Target="/xl/worksheets/sheet8.xml" Id="Ref22807c846148fc" /><Relationship Type="http://schemas.openxmlformats.org/officeDocument/2006/relationships/worksheet" Target="/xl/worksheets/sheet9.xml" Id="Rd65806c7db5744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21" hidden="0" customWidth="1"/>
    <x:col min="4" max="4" width="28" hidden="0" customWidth="1"/>
    <x:col min="5" max="5" width="21" hidden="0" customWidth="1"/>
    <x:col min="6" max="6" width="21" hidden="0" customWidth="1"/>
    <x:col min="7" max="7" width="31" hidden="0" customWidth="1"/>
    <x:col min="8" max="8" width="21" hidden="0" customWidth="1"/>
  </x:cols>
  <x:sheetData>
    <x:row r="1" ht="30" customHeight="1">
      <x:c r="A1" s="4" t="str">
        <x:v>BeeQ Exercise A — exact 10q vs 20q IQP-ZZ</x:v>
      </x:c>
      <x:c r="B1" s="4"/>
      <x:c r="C1" s="4"/>
      <x:c r="D1" s="4"/>
      <x:c r="E1" s="4"/>
      <x:c r="F1" s="4"/>
      <x:c r="G1" s="4"/>
      <x:c r="H1" s="4"/>
    </x:row>
    <x:row r="3">
      <x:c r="A3" s="7" t="str">
        <x:v>Primary pooled OOF results</x:v>
      </x:c>
      <x:c r="B3" s="7" t="str">
        <x:v>Value</x:v>
      </x:c>
      <x:c r="D3" s="7" t="str">
        <x:v>Paired MCC deltas</x:v>
      </x:c>
      <x:c r="E3" s="7" t="str">
        <x:v>Value</x:v>
      </x:c>
      <x:c r="G3" s="7" t="str">
        <x:v>Technical benchmark</x:v>
      </x:c>
      <x:c r="H3" s="7" t="str">
        <x:v>Value</x:v>
      </x:c>
    </x:row>
    <x:row r="4">
      <x:c r="A4" s="8" t="str">
        <x:v>10q baseline MCC</x:v>
      </x:c>
      <x:c r="B4" s="11" t="n">
        <x:f>'Pooled Metrics'!C2</x:f>
        <x:v>0.4000124193087406</x:v>
      </x:c>
      <x:c r="C4" s="8"/>
      <x:c r="D4" s="8" t="str">
        <x:v>Idle − baseline</x:v>
      </x:c>
      <x:c r="E4" s="13" t="n">
        <x:f>'Paired Deltas'!D2</x:f>
        <x:v>0</x:v>
      </x:c>
      <x:c r="F4" s="8"/>
      <x:c r="G4" s="8" t="str">
        <x:v>20q dimension</x:v>
      </x:c>
      <x:c r="H4" s="15" t="n">
        <x:f>'Benchmark'!D2</x:f>
        <x:v>1048576</x:v>
      </x:c>
    </x:row>
    <x:row r="5">
      <x:c r="A5" s="9" t="str">
        <x:v>20q idle MCC</x:v>
      </x:c>
      <x:c r="B5" s="12" t="n">
        <x:f>'Pooled Metrics'!C3</x:f>
        <x:v>0.4000124193087406</x:v>
      </x:c>
      <x:c r="C5" s="9"/>
      <x:c r="D5" s="9" t="str">
        <x:v>Duplicate − baseline</x:v>
      </x:c>
      <x:c r="E5" s="14" t="n">
        <x:f>'Paired Deltas'!D3</x:f>
        <x:v>0.031367460742685316</x:v>
      </x:c>
      <x:c r="F5" s="9"/>
      <x:c r="G5" s="9" t="str">
        <x:v>MiB/statevector</x:v>
      </x:c>
      <x:c r="H5" s="16" t="n">
        <x:f>'Benchmark'!E2/1048576</x:f>
        <x:v>16</x:v>
      </x:c>
    </x:row>
    <x:row r="6">
      <x:c r="A6" s="9" t="str">
        <x:v>20q duplicate MCC</x:v>
      </x:c>
      <x:c r="B6" s="12" t="n">
        <x:f>'Pooled Metrics'!C4</x:f>
        <x:v>0.4313798800514259</x:v>
      </x:c>
      <x:c r="C6" s="9"/>
      <x:c r="D6" s="9" t="str">
        <x:v>Complementary − baseline</x:v>
      </x:c>
      <x:c r="E6" s="14" t="n">
        <x:f>'Paired Deltas'!D4</x:f>
        <x:v>0.02553385234594774</x:v>
      </x:c>
      <x:c r="F6" s="9"/>
      <x:c r="G6" s="9" t="str">
        <x:v>Max duplicate kernel error</x:v>
      </x:c>
      <x:c r="H6" s="17" t="n">
        <x:f>'Benchmark'!H2</x:f>
        <x:v>4.907185768843192e-14</x:v>
      </x:c>
    </x:row>
    <x:row r="7">
      <x:c r="A7" s="9" t="str">
        <x:v>20q complementary MCC</x:v>
      </x:c>
      <x:c r="B7" s="12" t="n">
        <x:f>'Pooled Metrics'!C5</x:f>
        <x:v>0.42554627165468834</x:v>
      </x:c>
      <x:c r="C7" s="9"/>
      <x:c r="D7" s="9" t="str">
        <x:v>Complementary − duplicate</x:v>
      </x:c>
      <x:c r="E7" s="14" t="n">
        <x:f>'Paired Deltas'!D5</x:f>
        <x:v>-0.005833608396737577</x:v>
      </x:c>
      <x:c r="F7" s="9"/>
      <x:c r="G7" s="9" t="str">
        <x:v>Max complementary kernel error</x:v>
      </x:c>
      <x:c r="H7" s="17" t="n">
        <x:f>'Benchmark'!H3</x:f>
        <x:v>2.4424906541753444e-15</x:v>
      </x:c>
    </x:row>
    <x:row r="8">
      <x:c r="A8" s="10" t="str">
        <x:v>Baseline reproduction passed</x:v>
      </x:c>
      <x:c r="B8" s="10" t="str">
        <x:f>IF('Baseline Repro'!G2,"PASS","FAIL")</x:f>
        <x:v>PASS</x:v>
      </x:c>
      <x:c r="C8" s="10"/>
      <x:c r="D8" s="10"/>
      <x:c r="E8" s="10"/>
      <x:c r="F8" s="10"/>
      <x:c r="G8" s="10"/>
      <x:c r="H8" s="10"/>
    </x:row>
    <x:row r="10">
      <x:c r="A10" s="7" t="str">
        <x:v>External CR8 (8 molecules)</x:v>
      </x:c>
      <x:c r="B10" s="7" t="str">
        <x:v>MCC</x:v>
      </x:c>
      <x:c r="D10" s="38" t="str">
        <x:v>CR8 was evaluated once after development-only final selection. It contains 8 molecules (6 negative, 2 positive), so these external metrics are descriptive and highly discrete; CR8 was never used for tuning or architecture selection.</x:v>
      </x:c>
      <x:c r="E10" s="39"/>
      <x:c r="F10" s="39"/>
      <x:c r="G10" s="39"/>
      <x:c r="H10" s="40"/>
    </x:row>
    <x:row r="11">
      <x:c r="A11" t="str">
        <x:v>10q baseline</x:v>
      </x:c>
      <x:c r="B11" s="18" t="n">
        <x:f>'CR8 Metrics'!F2</x:f>
        <x:v>0</x:v>
      </x:c>
      <x:c r="D11" s="41"/>
      <x:c r="E11" s="42"/>
      <x:c r="F11" s="42"/>
      <x:c r="G11" s="42"/>
      <x:c r="H11" s="43"/>
    </x:row>
    <x:row r="12">
      <x:c r="A12" t="str">
        <x:v>20q idle</x:v>
      </x:c>
      <x:c r="B12" s="18" t="n">
        <x:f>'CR8 Metrics'!F3</x:f>
        <x:v>0</x:v>
      </x:c>
      <x:c r="D12" s="41"/>
      <x:c r="E12" s="42"/>
      <x:c r="F12" s="42"/>
      <x:c r="G12" s="42"/>
      <x:c r="H12" s="43"/>
    </x:row>
    <x:row r="13">
      <x:c r="A13" t="str">
        <x:v>20q duplicate</x:v>
      </x:c>
      <x:c r="B13" s="18" t="n">
        <x:f>'CR8 Metrics'!F4</x:f>
        <x:v>0</x:v>
      </x:c>
      <x:c r="D13" s="41"/>
      <x:c r="E13" s="42"/>
      <x:c r="F13" s="42"/>
      <x:c r="G13" s="42"/>
      <x:c r="H13" s="43"/>
    </x:row>
    <x:row r="14">
      <x:c r="A14" t="str">
        <x:v>20q complementary</x:v>
      </x:c>
      <x:c r="B14" s="18" t="n">
        <x:f>'CR8 Metrics'!F5</x:f>
        <x:v>0</x:v>
      </x:c>
      <x:c r="D14" s="44"/>
      <x:c r="E14" s="45"/>
      <x:c r="F14" s="45"/>
      <x:c r="G14" s="45"/>
      <x:c r="H14" s="46"/>
    </x:row>
    <x:row r="16">
      <x:c r="A16" s="38" t="str">
        <x:v>Scope note: exact simulation only; no shots, noise, quantum hardware, or external papers. MCC is primary. CSV files are canonical; this workbook is a compact navigation layer.</x:v>
      </x:c>
      <x:c r="B16" s="39"/>
      <x:c r="C16" s="39"/>
      <x:c r="D16" s="39"/>
      <x:c r="E16" s="39"/>
      <x:c r="F16" s="39"/>
      <x:c r="G16" s="39"/>
      <x:c r="H16" s="40"/>
    </x:row>
    <x:row r="17">
      <x:c r="A17" s="41"/>
      <x:c r="B17" s="42"/>
      <x:c r="C17" s="42"/>
      <x:c r="D17" s="42"/>
      <x:c r="E17" s="42"/>
      <x:c r="F17" s="42"/>
      <x:c r="G17" s="42"/>
      <x:c r="H17" s="43"/>
    </x:row>
    <x:row r="18">
      <x:c r="A18" s="44"/>
      <x:c r="B18" s="45"/>
      <x:c r="C18" s="45"/>
      <x:c r="D18" s="45"/>
      <x:c r="E18" s="45"/>
      <x:c r="F18" s="45"/>
      <x:c r="G18" s="45"/>
      <x:c r="H18" s="46"/>
    </x:row>
  </x:sheetData>
  <x:mergeCells>
    <x:mergeCell ref="A1:H1"/>
    <x:mergeCell ref="D10:H10"/>
    <x:mergeCell ref="D11:H11"/>
    <x:mergeCell ref="D12:H12"/>
    <x:mergeCell ref="D13:H13"/>
    <x:mergeCell ref="D14:H14"/>
    <x:mergeCell ref="A16:H16"/>
    <x:mergeCell ref="A17:H17"/>
    <x:mergeCell ref="A18:H18"/>
  </x:mergeCells>
  <x:conditionalFormatting sqref="E4:E7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8" customHeight="1">
      <x:c r="A1" s="49" t="str">
        <x:v>MODEL</x:v>
      </x:c>
      <x:c r="B1" s="49" t="str">
        <x:v>N</x:v>
      </x:c>
      <x:c r="C1" s="49" t="str">
        <x:v>MCC</x:v>
      </x:c>
      <x:c r="D1" s="49" t="str">
        <x:v>AUROC</x:v>
      </x:c>
      <x:c r="E1" s="49" t="str">
        <x:v>AUPRC</x:v>
      </x:c>
      <x:c r="F1" s="49" t="str">
        <x:v>BALANCED_ACCURACY</x:v>
      </x:c>
      <x:c r="G1" s="49" t="str">
        <x:v>SENSITIVITY</x:v>
      </x:c>
      <x:c r="H1" s="49" t="str">
        <x:v>SPECIFICITY</x:v>
      </x:c>
      <x:c r="I1" s="49" t="str">
        <x:v>TP</x:v>
      </x:c>
      <x:c r="J1" s="49" t="str">
        <x:v>TN</x:v>
      </x:c>
      <x:c r="K1" s="49" t="str">
        <x:v>FP</x:v>
      </x:c>
      <x:c r="L1" s="49" t="str">
        <x:v>FN</x:v>
      </x:c>
      <x:c r="M1" s="49" t="str">
        <x:v>FOLD_MCC_MEAN</x:v>
      </x:c>
      <x:c r="N1" s="49" t="str">
        <x:v>FOLD_MCC_SD</x:v>
      </x:c>
      <x:c r="O1" s="49" t="str">
        <x:v>FOLD_AUROC_MEAN</x:v>
      </x:c>
      <x:c r="P1" s="49" t="str">
        <x:v>FOLD_AUROC_SD</x:v>
      </x:c>
      <x:c r="Q1" s="49" t="str">
        <x:v>MCC_CI_LOW_95</x:v>
      </x:c>
      <x:c r="R1" s="49" t="str">
        <x:v>MCC_CI_HIGH_95</x:v>
      </x:c>
      <x:c r="S1" s="49" t="str">
        <x:v>MCC_BOOTSTRAP_MEDIAN</x:v>
      </x:c>
    </x:row>
    <x:row r="2">
      <x:c r="A2" s="53" t="str">
        <x:v>quantum_iqp_zz_linear</x:v>
      </x:c>
      <x:c r="B2" s="56" t="n">
        <x:v>712</x:v>
      </x:c>
      <x:c r="C2" s="59" t="n">
        <x:v>0.4000124193087406</x:v>
      </x:c>
      <x:c r="D2" s="59" t="n">
        <x:v>0.7139823496966354</x:v>
      </x:c>
      <x:c r="E2" s="59" t="n">
        <x:v>0.6150798325487455</x:v>
      </x:c>
      <x:c r="F2" s="59" t="n">
        <x:v>0.6548814120242692</x:v>
      </x:c>
      <x:c r="G2" s="59" t="n">
        <x:v>0.36486486486486486</x:v>
      </x:c>
      <x:c r="H2" s="59" t="n">
        <x:v>0.9448979591836735</x:v>
      </x:c>
      <x:c r="I2" s="56" t="n">
        <x:v>81</x:v>
      </x:c>
      <x:c r="J2" s="56" t="n">
        <x:v>463</x:v>
      </x:c>
      <x:c r="K2" s="56" t="n">
        <x:v>27</x:v>
      </x:c>
      <x:c r="L2" s="56" t="n">
        <x:v>141</x:v>
      </x:c>
      <x:c r="M2" s="59" t="n">
        <x:v>0.40453522500935213</x:v>
      </x:c>
      <x:c r="N2" s="59" t="n">
        <x:v>0.13580247667201376</x:v>
      </x:c>
      <x:c r="O2" s="59" t="n">
        <x:v>0.7129905370036581</x:v>
      </x:c>
      <x:c r="P2" s="59" t="n">
        <x:v>0.1055894740777469</x:v>
      </x:c>
      <x:c r="Q2" s="59" t="n">
        <x:v>0.25712678989628385</x:v>
      </x:c>
      <x:c r="R2" s="59" t="n">
        <x:v>0.5233285428406373</x:v>
      </x:c>
      <x:c r="S2" s="59" t="n">
        <x:v>0.3985676824782177</x:v>
      </x:c>
    </x:row>
    <x:row r="3">
      <x:c r="A3" s="54" t="str">
        <x:v>iqp_zz_current_20q_idle_control</x:v>
      </x:c>
      <x:c r="B3" s="57" t="n">
        <x:v>712</x:v>
      </x:c>
      <x:c r="C3" s="60" t="n">
        <x:v>0.4000124193087406</x:v>
      </x:c>
      <x:c r="D3" s="60" t="n">
        <x:v>0.7139823496966354</x:v>
      </x:c>
      <x:c r="E3" s="60" t="n">
        <x:v>0.6150798325487455</x:v>
      </x:c>
      <x:c r="F3" s="60" t="n">
        <x:v>0.6548814120242692</x:v>
      </x:c>
      <x:c r="G3" s="60" t="n">
        <x:v>0.36486486486486486</x:v>
      </x:c>
      <x:c r="H3" s="60" t="n">
        <x:v>0.9448979591836735</x:v>
      </x:c>
      <x:c r="I3" s="57" t="n">
        <x:v>81</x:v>
      </x:c>
      <x:c r="J3" s="57" t="n">
        <x:v>463</x:v>
      </x:c>
      <x:c r="K3" s="57" t="n">
        <x:v>27</x:v>
      </x:c>
      <x:c r="L3" s="57" t="n">
        <x:v>141</x:v>
      </x:c>
      <x:c r="M3" s="60" t="n">
        <x:v>0.40453522500935213</x:v>
      </x:c>
      <x:c r="N3" s="60" t="n">
        <x:v>0.13580247667201376</x:v>
      </x:c>
      <x:c r="O3" s="60" t="n">
        <x:v>0.7129905370036581</x:v>
      </x:c>
      <x:c r="P3" s="60" t="n">
        <x:v>0.1055894740777469</x:v>
      </x:c>
      <x:c r="Q3" s="60" t="n">
        <x:v>0.25712678989628385</x:v>
      </x:c>
      <x:c r="R3" s="60" t="n">
        <x:v>0.5233285428406373</x:v>
      </x:c>
      <x:c r="S3" s="60" t="n">
        <x:v>0.3985676824782177</x:v>
      </x:c>
    </x:row>
    <x:row r="4">
      <x:c r="A4" s="54" t="str">
        <x:v>iqp_zz_current_20q_duplicate</x:v>
      </x:c>
      <x:c r="B4" s="57" t="n">
        <x:v>712</x:v>
      </x:c>
      <x:c r="C4" s="60" t="n">
        <x:v>0.4313798800514259</x:v>
      </x:c>
      <x:c r="D4" s="60" t="n">
        <x:v>0.7271005699577129</x:v>
      </x:c>
      <x:c r="E4" s="60" t="n">
        <x:v>0.6320638979872486</x:v>
      </x:c>
      <x:c r="F4" s="60" t="n">
        <x:v>0.6583287369001655</x:v>
      </x:c>
      <x:c r="G4" s="60" t="n">
        <x:v>0.35135135135135137</x:v>
      </x:c>
      <x:c r="H4" s="60" t="n">
        <x:v>0.9653061224489796</x:v>
      </x:c>
      <x:c r="I4" s="57" t="n">
        <x:v>78</x:v>
      </x:c>
      <x:c r="J4" s="57" t="n">
        <x:v>473</x:v>
      </x:c>
      <x:c r="K4" s="57" t="n">
        <x:v>17</x:v>
      </x:c>
      <x:c r="L4" s="57" t="n">
        <x:v>144</x:v>
      </x:c>
      <x:c r="M4" s="60" t="n">
        <x:v>0.42203907542134783</x:v>
      </x:c>
      <x:c r="N4" s="60" t="n">
        <x:v>0.11847601264883013</x:v>
      </x:c>
      <x:c r="O4" s="60" t="n">
        <x:v>0.7247736817340648</x:v>
      </x:c>
      <x:c r="P4" s="60" t="n">
        <x:v>0.10584761128269463</x:v>
      </x:c>
      <x:c r="Q4" s="60" t="n">
        <x:v>0.29455943536942714</x:v>
      </x:c>
      <x:c r="R4" s="60" t="n">
        <x:v>0.5508273710846591</x:v>
      </x:c>
      <x:c r="S4" s="60" t="n">
        <x:v>0.4317701616091483</x:v>
      </x:c>
    </x:row>
    <x:row r="5">
      <x:c r="A5" s="55" t="str">
        <x:v>iqp_zz_current_20q_complementary_signed_sqrt</x:v>
      </x:c>
      <x:c r="B5" s="58" t="n">
        <x:v>712</x:v>
      </x:c>
      <x:c r="C5" s="61" t="n">
        <x:v>0.42554627165468834</x:v>
      </x:c>
      <x:c r="D5" s="61" t="n">
        <x:v>0.7288012502298217</x:v>
      </x:c>
      <x:c r="E5" s="61" t="n">
        <x:v>0.6378983701407476</x:v>
      </x:c>
      <x:c r="F5" s="61" t="n">
        <x:v>0.6696267696267696</x:v>
      </x:c>
      <x:c r="G5" s="61" t="n">
        <x:v>0.3963963963963964</x:v>
      </x:c>
      <x:c r="H5" s="61" t="n">
        <x:v>0.9428571428571428</x:v>
      </x:c>
      <x:c r="I5" s="58" t="n">
        <x:v>88</x:v>
      </x:c>
      <x:c r="J5" s="58" t="n">
        <x:v>462</x:v>
      </x:c>
      <x:c r="K5" s="58" t="n">
        <x:v>28</x:v>
      </x:c>
      <x:c r="L5" s="58" t="n">
        <x:v>134</x:v>
      </x:c>
      <x:c r="M5" s="61" t="n">
        <x:v>0.42820830735139415</x:v>
      </x:c>
      <x:c r="N5" s="61" t="n">
        <x:v>0.14769328388001324</x:v>
      </x:c>
      <x:c r="O5" s="61" t="n">
        <x:v>0.7298218879838021</x:v>
      </x:c>
      <x:c r="P5" s="61" t="n">
        <x:v>0.10162717611865277</x:v>
      </x:c>
      <x:c r="Q5" s="61" t="n">
        <x:v>0.283714055197912</x:v>
      </x:c>
      <x:c r="R5" s="61" t="n">
        <x:v>0.5506363184484476</x:v>
      </x:c>
      <x:c r="S5" s="61" t="n">
        <x:v>0.42494144198877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5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8" customHeight="1">
      <x:c r="A1" s="49" t="str">
        <x:v>AUPRC</x:v>
      </x:c>
      <x:c r="B1" s="49" t="str">
        <x:v>AUROC</x:v>
      </x:c>
      <x:c r="C1" s="49" t="str">
        <x:v>BALANCED_ACCURACY</x:v>
      </x:c>
      <x:c r="D1" s="49" t="str">
        <x:v>FN</x:v>
      </x:c>
      <x:c r="E1" s="49" t="str">
        <x:v>FP</x:v>
      </x:c>
      <x:c r="F1" s="49" t="str">
        <x:v>INNER_AUROC_MEAN</x:v>
      </x:c>
      <x:c r="G1" s="49" t="str">
        <x:v>INNER_AUROC_SD</x:v>
      </x:c>
      <x:c r="H1" s="49" t="str">
        <x:v>MCC</x:v>
      </x:c>
      <x:c r="I1" s="49" t="str">
        <x:v>MODEL</x:v>
      </x:c>
      <x:c r="J1" s="49" t="str">
        <x:v>N_TRAIN</x:v>
      </x:c>
      <x:c r="K1" s="49" t="str">
        <x:v>N_VALIDATION</x:v>
      </x:c>
      <x:c r="L1" s="49" t="str">
        <x:v>OUTER_FOLD</x:v>
      </x:c>
      <x:c r="M1" s="49" t="str">
        <x:v>SENSITIVITY</x:v>
      </x:c>
      <x:c r="N1" s="49" t="str">
        <x:v>SPECIFICITY</x:v>
      </x:c>
      <x:c r="O1" s="49" t="str">
        <x:v>THRESHOLD</x:v>
      </x:c>
      <x:c r="P1" s="49" t="str">
        <x:v>TN</x:v>
      </x:c>
      <x:c r="Q1" s="49" t="str">
        <x:v>TP</x:v>
      </x:c>
    </x:row>
    <x:row r="2">
      <x:c r="A2" s="59" t="n">
        <x:v>0.5016572288270607</x:v>
      </x:c>
      <x:c r="B2" s="59" t="n">
        <x:v>0.5801546391752577</x:v>
      </x:c>
      <x:c r="C2" s="59" t="n">
        <x:v>0.5903350515463918</x:v>
      </x:c>
      <x:c r="D2" s="56" t="n">
        <x:v>27</x:v>
      </x:c>
      <x:c r="E2" s="56" t="n">
        <x:v>14</x:v>
      </x:c>
      <x:c r="F2" s="59" t="n">
        <x:v>0.8067852561900182</x:v>
      </x:c>
      <x:c r="G2" s="59" t="n">
        <x:v>0.0430922482057872</x:v>
      </x:c>
      <x:c r="H2" s="59" t="n">
        <x:v>0.2065018422790953</x:v>
      </x:c>
      <x:c r="I2" s="53" t="str">
        <x:v>quantum_iqp_zz_linear</x:v>
      </x:c>
      <x:c r="J2" s="53" t="n">
        <x:v>575</x:v>
      </x:c>
      <x:c r="K2" s="53" t="n">
        <x:v>137</x:v>
      </x:c>
      <x:c r="L2" s="56" t="n">
        <x:v>1</x:v>
      </x:c>
      <x:c r="M2" s="59" t="n">
        <x:v>0.325</x:v>
      </x:c>
      <x:c r="N2" s="59" t="n">
        <x:v>0.8556701030927835</x:v>
      </x:c>
      <x:c r="O2" s="59" t="n">
        <x:v>0.18260755653527475</x:v>
      </x:c>
      <x:c r="P2" s="56" t="n">
        <x:v>83</x:v>
      </x:c>
      <x:c r="Q2" s="56" t="n">
        <x:v>13</x:v>
      </x:c>
    </x:row>
    <x:row r="3">
      <x:c r="A3" s="60" t="n">
        <x:v>0.5706655566793262</x:v>
      </x:c>
      <x:c r="B3" s="60" t="n">
        <x:v>0.647456279809221</x:v>
      </x:c>
      <x:c r="C3" s="60" t="n">
        <x:v>0.6327503974562798</x:v>
      </x:c>
      <x:c r="D3" s="57" t="n">
        <x:v>25</x:v>
      </x:c>
      <x:c r="E3" s="57" t="n">
        <x:v>4</x:v>
      </x:c>
      <x:c r="F3" s="60" t="n">
        <x:v>0.7455693562039991</x:v>
      </x:c>
      <x:c r="G3" s="60" t="n">
        <x:v>0.10767741868774985</x:v>
      </x:c>
      <x:c r="H3" s="60" t="n">
        <x:v>0.3529117753900848</x:v>
      </x:c>
      <x:c r="I3" s="54" t="str">
        <x:v>quantum_iqp_zz_linear</x:v>
      </x:c>
      <x:c r="J3" s="54" t="n">
        <x:v>607</x:v>
      </x:c>
      <x:c r="K3" s="54" t="n">
        <x:v>105</x:v>
      </x:c>
      <x:c r="L3" s="57" t="n">
        <x:v>2</x:v>
      </x:c>
      <x:c r="M3" s="60" t="n">
        <x:v>0.32432432432432434</x:v>
      </x:c>
      <x:c r="N3" s="60" t="n">
        <x:v>0.9411764705882353</x:v>
      </x:c>
      <x:c r="O3" s="60" t="n">
        <x:v>0.1769772718214202</x:v>
      </x:c>
      <x:c r="P3" s="57" t="n">
        <x:v>64</x:v>
      </x:c>
      <x:c r="Q3" s="57" t="n">
        <x:v>12</x:v>
      </x:c>
    </x:row>
    <x:row r="4">
      <x:c r="A4" s="60" t="n">
        <x:v>0.7408981220061456</x:v>
      </x:c>
      <x:c r="B4" s="60" t="n">
        <x:v>0.8285012285012285</x:v>
      </x:c>
      <x:c r="C4" s="60" t="n">
        <x:v>0.6576167076167077</x:v>
      </x:c>
      <x:c r="D4" s="57" t="n">
        <x:v>25</x:v>
      </x:c>
      <x:c r="E4" s="57" t="n">
        <x:v>1</x:v>
      </x:c>
      <x:c r="F4" s="60" t="n">
        <x:v>0.7104293204391645</x:v>
      </x:c>
      <x:c r="G4" s="60" t="n">
        <x:v>0.11820838815403482</x:v>
      </x:c>
      <x:c r="H4" s="60" t="n">
        <x:v>0.48184280284144393</x:v>
      </x:c>
      <x:c r="I4" s="54" t="str">
        <x:v>quantum_iqp_zz_linear</x:v>
      </x:c>
      <x:c r="J4" s="54" t="n">
        <x:v>565</x:v>
      </x:c>
      <x:c r="K4" s="54" t="n">
        <x:v>147</x:v>
      </x:c>
      <x:c r="L4" s="57" t="n">
        <x:v>3</x:v>
      </x:c>
      <x:c r="M4" s="60" t="n">
        <x:v>0.32432432432432434</x:v>
      </x:c>
      <x:c r="N4" s="60" t="n">
        <x:v>0.990909090909091</x:v>
      </x:c>
      <x:c r="O4" s="60" t="n">
        <x:v>0.43582441750255496</x:v>
      </x:c>
      <x:c r="P4" s="57" t="n">
        <x:v>109</x:v>
      </x:c>
      <x:c r="Q4" s="57" t="n">
        <x:v>12</x:v>
      </x:c>
    </x:row>
    <x:row r="5">
      <x:c r="A5" s="60" t="n">
        <x:v>0.6464894074649665</x:v>
      </x:c>
      <x:c r="B5" s="60" t="n">
        <x:v>0.7001944984717976</x:v>
      </x:c>
      <x:c r="C5" s="60" t="n">
        <x:v>0.6186440677966102</x:v>
      </x:c>
      <x:c r="D5" s="57" t="n">
        <x:v>45</x:v>
      </x:c>
      <x:c r="E5" s="57" t="n">
        <x:v>0</x:v>
      </x:c>
      <x:c r="F5" s="60" t="n">
        <x:v>0.7096252460181923</x:v>
      </x:c>
      <x:c r="G5" s="60" t="n">
        <x:v>0.14972749818398015</x:v>
      </x:c>
      <x:c r="H5" s="60" t="n">
        <x:v>0.41635107639659596</x:v>
      </x:c>
      <x:c r="I5" s="54" t="str">
        <x:v>quantum_iqp_zz_linear</x:v>
      </x:c>
      <x:c r="J5" s="54" t="n">
        <x:v>531</x:v>
      </x:c>
      <x:c r="K5" s="54" t="n">
        <x:v>181</x:v>
      </x:c>
      <x:c r="L5" s="57" t="n">
        <x:v>4</x:v>
      </x:c>
      <x:c r="M5" s="60" t="n">
        <x:v>0.23728813559322035</x:v>
      </x:c>
      <x:c r="N5" s="60" t="n">
        <x:v>1</x:v>
      </x:c>
      <x:c r="O5" s="60" t="n">
        <x:v>0.06535323416911916</x:v>
      </x:c>
      <x:c r="P5" s="57" t="n">
        <x:v>122</x:v>
      </x:c>
      <x:c r="Q5" s="57" t="n">
        <x:v>14</x:v>
      </x:c>
    </x:row>
    <x:row r="6">
      <x:c r="A6" s="60" t="n">
        <x:v>0.7676662719334247</x:v>
      </x:c>
      <x:c r="B6" s="60" t="n">
        <x:v>0.8086460390607856</x:v>
      </x:c>
      <x:c r="C6" s="60" t="n">
        <x:v>0.7631116962914197</x:v>
      </x:c>
      <x:c r="D6" s="57" t="n">
        <x:v>19</x:v>
      </x:c>
      <x:c r="E6" s="57" t="n">
        <x:v>8</x:v>
      </x:c>
      <x:c r="F6" s="60" t="n">
        <x:v>0.7269897232960126</x:v>
      </x:c>
      <x:c r="G6" s="60" t="n">
        <x:v>0.053740423929951604</x:v>
      </x:c>
      <x:c r="H6" s="60" t="n">
        <x:v>0.5650686281395405</x:v>
      </x:c>
      <x:c r="I6" s="54" t="str">
        <x:v>quantum_iqp_zz_linear</x:v>
      </x:c>
      <x:c r="J6" s="54" t="n">
        <x:v>570</x:v>
      </x:c>
      <x:c r="K6" s="54" t="n">
        <x:v>142</x:v>
      </x:c>
      <x:c r="L6" s="57" t="n">
        <x:v>5</x:v>
      </x:c>
      <x:c r="M6" s="60" t="n">
        <x:v>0.6122448979591837</x:v>
      </x:c>
      <x:c r="N6" s="60" t="n">
        <x:v>0.9139784946236559</x:v>
      </x:c>
      <x:c r="O6" s="60" t="n">
        <x:v>0.06840351123842597</x:v>
      </x:c>
      <x:c r="P6" s="57" t="n">
        <x:v>85</x:v>
      </x:c>
      <x:c r="Q6" s="57" t="n">
        <x:v>30</x:v>
      </x:c>
    </x:row>
    <x:row r="7">
      <x:c r="A7" s="60" t="n">
        <x:v>0.5016572288270607</x:v>
      </x:c>
      <x:c r="B7" s="60" t="n">
        <x:v>0.5801546391752577</x:v>
      </x:c>
      <x:c r="C7" s="60" t="n">
        <x:v>0.5903350515463918</x:v>
      </x:c>
      <x:c r="D7" s="57" t="n">
        <x:v>27</x:v>
      </x:c>
      <x:c r="E7" s="57" t="n">
        <x:v>14</x:v>
      </x:c>
      <x:c r="F7" s="60" t="n">
        <x:v>0.8067852561900182</x:v>
      </x:c>
      <x:c r="G7" s="60" t="n">
        <x:v>0.0430922482057872</x:v>
      </x:c>
      <x:c r="H7" s="60" t="n">
        <x:v>0.2065018422790953</x:v>
      </x:c>
      <x:c r="I7" s="54" t="str">
        <x:v>iqp_zz_current_20q_idle_control</x:v>
      </x:c>
      <x:c r="J7" s="54" t="n">
        <x:v>575</x:v>
      </x:c>
      <x:c r="K7" s="54" t="n">
        <x:v>137</x:v>
      </x:c>
      <x:c r="L7" s="57" t="n">
        <x:v>1</x:v>
      </x:c>
      <x:c r="M7" s="60" t="n">
        <x:v>0.325</x:v>
      </x:c>
      <x:c r="N7" s="60" t="n">
        <x:v>0.8556701030927835</x:v>
      </x:c>
      <x:c r="O7" s="60" t="n">
        <x:v>0.18260755653527475</x:v>
      </x:c>
      <x:c r="P7" s="57" t="n">
        <x:v>83</x:v>
      </x:c>
      <x:c r="Q7" s="57" t="n">
        <x:v>13</x:v>
      </x:c>
    </x:row>
    <x:row r="8">
      <x:c r="A8" s="60" t="n">
        <x:v>0.5706655566793262</x:v>
      </x:c>
      <x:c r="B8" s="60" t="n">
        <x:v>0.647456279809221</x:v>
      </x:c>
      <x:c r="C8" s="60" t="n">
        <x:v>0.6327503974562798</x:v>
      </x:c>
      <x:c r="D8" s="57" t="n">
        <x:v>25</x:v>
      </x:c>
      <x:c r="E8" s="57" t="n">
        <x:v>4</x:v>
      </x:c>
      <x:c r="F8" s="60" t="n">
        <x:v>0.7455693562039991</x:v>
      </x:c>
      <x:c r="G8" s="60" t="n">
        <x:v>0.10767741868774985</x:v>
      </x:c>
      <x:c r="H8" s="60" t="n">
        <x:v>0.3529117753900848</x:v>
      </x:c>
      <x:c r="I8" s="54" t="str">
        <x:v>iqp_zz_current_20q_idle_control</x:v>
      </x:c>
      <x:c r="J8" s="54" t="n">
        <x:v>607</x:v>
      </x:c>
      <x:c r="K8" s="54" t="n">
        <x:v>105</x:v>
      </x:c>
      <x:c r="L8" s="57" t="n">
        <x:v>2</x:v>
      </x:c>
      <x:c r="M8" s="60" t="n">
        <x:v>0.32432432432432434</x:v>
      </x:c>
      <x:c r="N8" s="60" t="n">
        <x:v>0.9411764705882353</x:v>
      </x:c>
      <x:c r="O8" s="60" t="n">
        <x:v>0.1769772718214202</x:v>
      </x:c>
      <x:c r="P8" s="57" t="n">
        <x:v>64</x:v>
      </x:c>
      <x:c r="Q8" s="57" t="n">
        <x:v>12</x:v>
      </x:c>
    </x:row>
    <x:row r="9">
      <x:c r="A9" s="60" t="n">
        <x:v>0.7408981220061456</x:v>
      </x:c>
      <x:c r="B9" s="60" t="n">
        <x:v>0.8285012285012285</x:v>
      </x:c>
      <x:c r="C9" s="60" t="n">
        <x:v>0.6576167076167077</x:v>
      </x:c>
      <x:c r="D9" s="57" t="n">
        <x:v>25</x:v>
      </x:c>
      <x:c r="E9" s="57" t="n">
        <x:v>1</x:v>
      </x:c>
      <x:c r="F9" s="60" t="n">
        <x:v>0.7104293204391645</x:v>
      </x:c>
      <x:c r="G9" s="60" t="n">
        <x:v>0.11820838815403482</x:v>
      </x:c>
      <x:c r="H9" s="60" t="n">
        <x:v>0.48184280284144393</x:v>
      </x:c>
      <x:c r="I9" s="54" t="str">
        <x:v>iqp_zz_current_20q_idle_control</x:v>
      </x:c>
      <x:c r="J9" s="54" t="n">
        <x:v>565</x:v>
      </x:c>
      <x:c r="K9" s="54" t="n">
        <x:v>147</x:v>
      </x:c>
      <x:c r="L9" s="57" t="n">
        <x:v>3</x:v>
      </x:c>
      <x:c r="M9" s="60" t="n">
        <x:v>0.32432432432432434</x:v>
      </x:c>
      <x:c r="N9" s="60" t="n">
        <x:v>0.990909090909091</x:v>
      </x:c>
      <x:c r="O9" s="60" t="n">
        <x:v>0.43582441750255496</x:v>
      </x:c>
      <x:c r="P9" s="57" t="n">
        <x:v>109</x:v>
      </x:c>
      <x:c r="Q9" s="57" t="n">
        <x:v>12</x:v>
      </x:c>
    </x:row>
    <x:row r="10">
      <x:c r="A10" s="60" t="n">
        <x:v>0.6464894074649665</x:v>
      </x:c>
      <x:c r="B10" s="60" t="n">
        <x:v>0.7001944984717976</x:v>
      </x:c>
      <x:c r="C10" s="60" t="n">
        <x:v>0.6186440677966102</x:v>
      </x:c>
      <x:c r="D10" s="57" t="n">
        <x:v>45</x:v>
      </x:c>
      <x:c r="E10" s="57" t="n">
        <x:v>0</x:v>
      </x:c>
      <x:c r="F10" s="60" t="n">
        <x:v>0.7096252460181923</x:v>
      </x:c>
      <x:c r="G10" s="60" t="n">
        <x:v>0.14972749818398015</x:v>
      </x:c>
      <x:c r="H10" s="60" t="n">
        <x:v>0.41635107639659596</x:v>
      </x:c>
      <x:c r="I10" s="54" t="str">
        <x:v>iqp_zz_current_20q_idle_control</x:v>
      </x:c>
      <x:c r="J10" s="54" t="n">
        <x:v>531</x:v>
      </x:c>
      <x:c r="K10" s="54" t="n">
        <x:v>181</x:v>
      </x:c>
      <x:c r="L10" s="57" t="n">
        <x:v>4</x:v>
      </x:c>
      <x:c r="M10" s="60" t="n">
        <x:v>0.23728813559322035</x:v>
      </x:c>
      <x:c r="N10" s="60" t="n">
        <x:v>1</x:v>
      </x:c>
      <x:c r="O10" s="60" t="n">
        <x:v>0.06535323416911916</x:v>
      </x:c>
      <x:c r="P10" s="57" t="n">
        <x:v>122</x:v>
      </x:c>
      <x:c r="Q10" s="57" t="n">
        <x:v>14</x:v>
      </x:c>
    </x:row>
    <x:row r="11">
      <x:c r="A11" s="60" t="n">
        <x:v>0.7676662719334247</x:v>
      </x:c>
      <x:c r="B11" s="60" t="n">
        <x:v>0.8086460390607856</x:v>
      </x:c>
      <x:c r="C11" s="60" t="n">
        <x:v>0.7631116962914197</x:v>
      </x:c>
      <x:c r="D11" s="57" t="n">
        <x:v>19</x:v>
      </x:c>
      <x:c r="E11" s="57" t="n">
        <x:v>8</x:v>
      </x:c>
      <x:c r="F11" s="60" t="n">
        <x:v>0.7269897232960126</x:v>
      </x:c>
      <x:c r="G11" s="60" t="n">
        <x:v>0.053740423929951604</x:v>
      </x:c>
      <x:c r="H11" s="60" t="n">
        <x:v>0.5650686281395405</x:v>
      </x:c>
      <x:c r="I11" s="54" t="str">
        <x:v>iqp_zz_current_20q_idle_control</x:v>
      </x:c>
      <x:c r="J11" s="54" t="n">
        <x:v>570</x:v>
      </x:c>
      <x:c r="K11" s="54" t="n">
        <x:v>142</x:v>
      </x:c>
      <x:c r="L11" s="57" t="n">
        <x:v>5</x:v>
      </x:c>
      <x:c r="M11" s="60" t="n">
        <x:v>0.6122448979591837</x:v>
      </x:c>
      <x:c r="N11" s="60" t="n">
        <x:v>0.9139784946236559</x:v>
      </x:c>
      <x:c r="O11" s="60" t="n">
        <x:v>0.06840351123842597</x:v>
      </x:c>
      <x:c r="P11" s="57" t="n">
        <x:v>85</x:v>
      </x:c>
      <x:c r="Q11" s="57" t="n">
        <x:v>30</x:v>
      </x:c>
    </x:row>
    <x:row r="12">
      <x:c r="A12" s="60" t="n">
        <x:v>0.4845008778224055</x:v>
      </x:c>
      <x:c r="B12" s="60" t="n">
        <x:v>0.572938144329897</x:v>
      </x:c>
      <x:c r="C12" s="60" t="n">
        <x:v>0.5992268041237113</x:v>
      </x:c>
      <x:c r="D12" s="57" t="n">
        <x:v>30</x:v>
      </x:c>
      <x:c r="E12" s="57" t="n">
        <x:v>5</x:v>
      </x:c>
      <x:c r="F12" s="60" t="n">
        <x:v>0.8019865170486288</x:v>
      </x:c>
      <x:c r="G12" s="60" t="n">
        <x:v>0.043343171500425555</x:v>
      </x:c>
      <x:c r="H12" s="60" t="n">
        <x:v>0.2889677108198363</x:v>
      </x:c>
      <x:c r="I12" s="54" t="str">
        <x:v>iqp_zz_current_20q_duplicate</x:v>
      </x:c>
      <x:c r="J12" s="54" t="n">
        <x:v>575</x:v>
      </x:c>
      <x:c r="K12" s="54" t="n">
        <x:v>137</x:v>
      </x:c>
      <x:c r="L12" s="57" t="n">
        <x:v>1</x:v>
      </x:c>
      <x:c r="M12" s="60" t="n">
        <x:v>0.25</x:v>
      </x:c>
      <x:c r="N12" s="60" t="n">
        <x:v>0.9484536082474226</x:v>
      </x:c>
      <x:c r="O12" s="60" t="n">
        <x:v>0.8142010192925456</x:v>
      </x:c>
      <x:c r="P12" s="57" t="n">
        <x:v>92</x:v>
      </x:c>
      <x:c r="Q12" s="57" t="n">
        <x:v>10</x:v>
      </x:c>
    </x:row>
    <x:row r="13">
      <x:c r="A13" s="60" t="n">
        <x:v>0.5163847933865751</x:v>
      </x:c>
      <x:c r="B13" s="60" t="n">
        <x:v>0.5804123711340206</x:v>
      </x:c>
      <x:c r="C13" s="60" t="n">
        <x:v>0.5925257731958763</x:v>
      </x:c>
      <x:c r="D13" s="57" t="n">
        <x:v>26</x:v>
      </x:c>
      <x:c r="E13" s="57" t="n">
        <x:v>16</x:v>
      </x:c>
      <x:c r="F13" s="60" t="n">
        <x:v>0.7970256394169437</x:v>
      </x:c>
      <x:c r="G13" s="60" t="n">
        <x:v>0.04729453444598561</x:v>
      </x:c>
      <x:c r="H13" s="60" t="n">
        <x:v>0.20344923690360678</x:v>
      </x:c>
      <x:c r="I13" s="54" t="str">
        <x:v>iqp_zz_current_20q_complementary_signed_sqrt</x:v>
      </x:c>
      <x:c r="J13" s="54" t="n">
        <x:v>575</x:v>
      </x:c>
      <x:c r="K13" s="54" t="n">
        <x:v>137</x:v>
      </x:c>
      <x:c r="L13" s="57" t="n">
        <x:v>1</x:v>
      </x:c>
      <x:c r="M13" s="60" t="n">
        <x:v>0.35</x:v>
      </x:c>
      <x:c r="N13" s="60" t="n">
        <x:v>0.8350515463917526</x:v>
      </x:c>
      <x:c r="O13" s="60" t="n">
        <x:v>0.07311033817959534</x:v>
      </x:c>
      <x:c r="P13" s="57" t="n">
        <x:v>81</x:v>
      </x:c>
      <x:c r="Q13" s="57" t="n">
        <x:v>14</x:v>
      </x:c>
    </x:row>
    <x:row r="14">
      <x:c r="A14" s="60" t="n">
        <x:v>0.5805593060869656</x:v>
      </x:c>
      <x:c r="B14" s="60" t="n">
        <x:v>0.6657392686804452</x:v>
      </x:c>
      <x:c r="C14" s="60" t="n">
        <x:v>0.6192368839427663</x:v>
      </x:c>
      <x:c r="D14" s="57" t="n">
        <x:v>26</x:v>
      </x:c>
      <x:c r="E14" s="57" t="n">
        <x:v>4</x:v>
      </x:c>
      <x:c r="F14" s="60" t="n">
        <x:v>0.7395927583896456</x:v>
      </x:c>
      <x:c r="G14" s="60" t="n">
        <x:v>0.10447460167328243</x:v>
      </x:c>
      <x:c r="H14" s="60" t="n">
        <x:v>0.325558506696506</x:v>
      </x:c>
      <x:c r="I14" s="54" t="str">
        <x:v>iqp_zz_current_20q_duplicate</x:v>
      </x:c>
      <x:c r="J14" s="54" t="n">
        <x:v>607</x:v>
      </x:c>
      <x:c r="K14" s="54" t="n">
        <x:v>105</x:v>
      </x:c>
      <x:c r="L14" s="57" t="n">
        <x:v>2</x:v>
      </x:c>
      <x:c r="M14" s="60" t="n">
        <x:v>0.2972972972972973</x:v>
      </x:c>
      <x:c r="N14" s="60" t="n">
        <x:v>0.9411764705882353</x:v>
      </x:c>
      <x:c r="O14" s="60" t="n">
        <x:v>0.6404579946990248</x:v>
      </x:c>
      <x:c r="P14" s="57" t="n">
        <x:v>64</x:v>
      </x:c>
      <x:c r="Q14" s="57" t="n">
        <x:v>11</x:v>
      </x:c>
    </x:row>
    <x:row r="15">
      <x:c r="A15" s="60" t="n">
        <x:v>0.5862547596462985</x:v>
      </x:c>
      <x:c r="B15" s="60" t="n">
        <x:v>0.6748807631160573</x:v>
      </x:c>
      <x:c r="C15" s="60" t="n">
        <x:v>0.6462639109697933</x:v>
      </x:c>
      <x:c r="D15" s="57" t="n">
        <x:v>24</x:v>
      </x:c>
      <x:c r="E15" s="57" t="n">
        <x:v>4</x:v>
      </x:c>
      <x:c r="F15" s="60" t="n">
        <x:v>0.7300234639617582</x:v>
      </x:c>
      <x:c r="G15" s="60" t="n">
        <x:v>0.11397571487110524</x:v>
      </x:c>
      <x:c r="H15" s="60" t="n">
        <x:v>0.37936450956127005</x:v>
      </x:c>
      <x:c r="I15" s="54" t="str">
        <x:v>iqp_zz_current_20q_complementary_signed_sqrt</x:v>
      </x:c>
      <x:c r="J15" s="54" t="n">
        <x:v>607</x:v>
      </x:c>
      <x:c r="K15" s="54" t="n">
        <x:v>105</x:v>
      </x:c>
      <x:c r="L15" s="57" t="n">
        <x:v>2</x:v>
      </x:c>
      <x:c r="M15" s="60" t="n">
        <x:v>0.35135135135135137</x:v>
      </x:c>
      <x:c r="N15" s="60" t="n">
        <x:v>0.9411764705882353</x:v>
      </x:c>
      <x:c r="O15" s="60" t="n">
        <x:v>0.2600255075574885</x:v>
      </x:c>
      <x:c r="P15" s="57" t="n">
        <x:v>64</x:v>
      </x:c>
      <x:c r="Q15" s="57" t="n">
        <x:v>13</x:v>
      </x:c>
    </x:row>
    <x:row r="16">
      <x:c r="A16" s="60" t="n">
        <x:v>0.7030260478004425</x:v>
      </x:c>
      <x:c r="B16" s="60" t="n">
        <x:v>0.8105651105651106</x:v>
      </x:c>
      <x:c r="C16" s="60" t="n">
        <x:v>0.6576167076167077</x:v>
      </x:c>
      <x:c r="D16" s="57" t="n">
        <x:v>25</x:v>
      </x:c>
      <x:c r="E16" s="57" t="n">
        <x:v>1</x:v>
      </x:c>
      <x:c r="F16" s="60" t="n">
        <x:v>0.6970417559277471</x:v>
      </x:c>
      <x:c r="G16" s="60" t="n">
        <x:v>0.12680573599003572</x:v>
      </x:c>
      <x:c r="H16" s="60" t="n">
        <x:v>0.48184280284144393</x:v>
      </x:c>
      <x:c r="I16" s="54" t="str">
        <x:v>iqp_zz_current_20q_duplicate</x:v>
      </x:c>
      <x:c r="J16" s="54" t="n">
        <x:v>565</x:v>
      </x:c>
      <x:c r="K16" s="54" t="n">
        <x:v>147</x:v>
      </x:c>
      <x:c r="L16" s="57" t="n">
        <x:v>3</x:v>
      </x:c>
      <x:c r="M16" s="60" t="n">
        <x:v>0.32432432432432434</x:v>
      </x:c>
      <x:c r="N16" s="60" t="n">
        <x:v>0.990909090909091</x:v>
      </x:c>
      <x:c r="O16" s="60" t="n">
        <x:v>0.5297393622045521</x:v>
      </x:c>
      <x:c r="P16" s="57" t="n">
        <x:v>109</x:v>
      </x:c>
      <x:c r="Q16" s="57" t="n">
        <x:v>12</x:v>
      </x:c>
    </x:row>
    <x:row r="17">
      <x:c r="A17" s="60" t="n">
        <x:v>0.7354729503822821</x:v>
      </x:c>
      <x:c r="B17" s="60" t="n">
        <x:v>0.8142506142506142</x:v>
      </x:c>
      <x:c r="C17" s="60" t="n">
        <x:v>0.6576167076167077</x:v>
      </x:c>
      <x:c r="D17" s="57" t="n">
        <x:v>25</x:v>
      </x:c>
      <x:c r="E17" s="57" t="n">
        <x:v>1</x:v>
      </x:c>
      <x:c r="F17" s="60" t="n">
        <x:v>0.6921146203563951</x:v>
      </x:c>
      <x:c r="G17" s="60" t="n">
        <x:v>0.1184688272346167</x:v>
      </x:c>
      <x:c r="H17" s="60" t="n">
        <x:v>0.48184280284144393</x:v>
      </x:c>
      <x:c r="I17" s="54" t="str">
        <x:v>iqp_zz_current_20q_complementary_signed_sqrt</x:v>
      </x:c>
      <x:c r="J17" s="54" t="n">
        <x:v>565</x:v>
      </x:c>
      <x:c r="K17" s="54" t="n">
        <x:v>147</x:v>
      </x:c>
      <x:c r="L17" s="57" t="n">
        <x:v>3</x:v>
      </x:c>
      <x:c r="M17" s="60" t="n">
        <x:v>0.32432432432432434</x:v>
      </x:c>
      <x:c r="N17" s="60" t="n">
        <x:v>0.990909090909091</x:v>
      </x:c>
      <x:c r="O17" s="60" t="n">
        <x:v>0.6715404963362874</x:v>
      </x:c>
      <x:c r="P17" s="57" t="n">
        <x:v>109</x:v>
      </x:c>
      <x:c r="Q17" s="57" t="n">
        <x:v>12</x:v>
      </x:c>
    </x:row>
    <x:row r="18">
      <x:c r="A18" s="60" t="n">
        <x:v>0.703446313580022</x:v>
      </x:c>
      <x:c r="B18" s="60" t="n">
        <x:v>0.747985551542095</x:v>
      </x:c>
      <x:c r="C18" s="60" t="n">
        <x:v>0.6271186440677966</x:v>
      </x:c>
      <x:c r="D18" s="57" t="n">
        <x:v>44</x:v>
      </x:c>
      <x:c r="E18" s="57" t="n">
        <x:v>0</x:v>
      </x:c>
      <x:c r="F18" s="60" t="n">
        <x:v>0.7111781614582922</x:v>
      </x:c>
      <x:c r="G18" s="60" t="n">
        <x:v>0.13026514762495042</x:v>
      </x:c>
      <x:c r="H18" s="60" t="n">
        <x:v>0.4322604438071749</x:v>
      </x:c>
      <x:c r="I18" s="54" t="str">
        <x:v>iqp_zz_current_20q_duplicate</x:v>
      </x:c>
      <x:c r="J18" s="54" t="n">
        <x:v>531</x:v>
      </x:c>
      <x:c r="K18" s="54" t="n">
        <x:v>181</x:v>
      </x:c>
      <x:c r="L18" s="57" t="n">
        <x:v>4</x:v>
      </x:c>
      <x:c r="M18" s="60" t="n">
        <x:v>0.2542372881355932</x:v>
      </x:c>
      <x:c r="N18" s="60" t="n">
        <x:v>1</x:v>
      </x:c>
      <x:c r="O18" s="60" t="n">
        <x:v>0.6604132292522435</x:v>
      </x:c>
      <x:c r="P18" s="57" t="n">
        <x:v>122</x:v>
      </x:c>
      <x:c r="Q18" s="57" t="n">
        <x:v>15</x:v>
      </x:c>
    </x:row>
    <x:row r="19">
      <x:c r="A19" s="60" t="n">
        <x:v>0.7050824562061347</x:v>
      </x:c>
      <x:c r="B19" s="60" t="n">
        <x:v>0.7610447346485135</x:v>
      </x:c>
      <x:c r="C19" s="60" t="n">
        <x:v>0.652542372881356</x:v>
      </x:c>
      <x:c r="D19" s="57" t="n">
        <x:v>41</x:v>
      </x:c>
      <x:c r="E19" s="57" t="n">
        <x:v>0</x:v>
      </x:c>
      <x:c r="F19" s="60" t="n">
        <x:v>0.703085563199187</x:v>
      </x:c>
      <x:c r="G19" s="60" t="n">
        <x:v>0.12899556177292218</x:v>
      </x:c>
      <x:c r="H19" s="60" t="n">
        <x:v>0.47785524788666633</x:v>
      </x:c>
      <x:c r="I19" s="54" t="str">
        <x:v>iqp_zz_current_20q_complementary_signed_sqrt</x:v>
      </x:c>
      <x:c r="J19" s="54" t="n">
        <x:v>531</x:v>
      </x:c>
      <x:c r="K19" s="54" t="n">
        <x:v>181</x:v>
      </x:c>
      <x:c r="L19" s="57" t="n">
        <x:v>4</x:v>
      </x:c>
      <x:c r="M19" s="60" t="n">
        <x:v>0.3050847457627119</x:v>
      </x:c>
      <x:c r="N19" s="60" t="n">
        <x:v>1</x:v>
      </x:c>
      <x:c r="O19" s="60" t="n">
        <x:v>-0.042525596571552624</x:v>
      </x:c>
      <x:c r="P19" s="57" t="n">
        <x:v>122</x:v>
      </x:c>
      <x:c r="Q19" s="57" t="n">
        <x:v>18</x:v>
      </x:c>
    </x:row>
    <x:row r="20">
      <x:c r="A20" s="60" t="n">
        <x:v>0.7624490611347895</x:v>
      </x:c>
      <x:c r="B20" s="60" t="n">
        <x:v>0.826640333552776</x:v>
      </x:c>
      <x:c r="C20" s="60" t="n">
        <x:v>0.7684880403774412</x:v>
      </x:c>
      <x:c r="D20" s="57" t="n">
        <x:v>19</x:v>
      </x:c>
      <x:c r="E20" s="57" t="n">
        <x:v>7</x:v>
      </x:c>
      <x:c r="F20" s="60" t="n">
        <x:v>0.72521840746011</x:v>
      </x:c>
      <x:c r="G20" s="60" t="n">
        <x:v>0.03526299758102712</x:v>
      </x:c>
      <x:c r="H20" s="60" t="n">
        <x:v>0.5815659129417781</x:v>
      </x:c>
      <x:c r="I20" s="54" t="str">
        <x:v>iqp_zz_current_20q_duplicate</x:v>
      </x:c>
      <x:c r="J20" s="54" t="n">
        <x:v>570</x:v>
      </x:c>
      <x:c r="K20" s="54" t="n">
        <x:v>142</x:v>
      </x:c>
      <x:c r="L20" s="57" t="n">
        <x:v>5</x:v>
      </x:c>
      <x:c r="M20" s="60" t="n">
        <x:v>0.6122448979591837</x:v>
      </x:c>
      <x:c r="N20" s="60" t="n">
        <x:v>0.9247311827956989</x:v>
      </x:c>
      <x:c r="O20" s="60" t="n">
        <x:v>0.35285755194636653</x:v>
      </x:c>
      <x:c r="P20" s="57" t="n">
        <x:v>86</x:v>
      </x:c>
      <x:c r="Q20" s="57" t="n">
        <x:v>30</x:v>
      </x:c>
    </x:row>
    <x:row r="21">
      <x:c r="A21" s="61" t="n">
        <x:v>0.7614642709112037</x:v>
      </x:c>
      <x:c r="B21" s="61" t="n">
        <x:v>0.8185209567698047</x:v>
      </x:c>
      <x:c r="C21" s="61" t="n">
        <x:v>0.7786921220100944</x:v>
      </x:c>
      <x:c r="D21" s="58" t="n">
        <x:v>18</x:v>
      </x:c>
      <x:c r="E21" s="58" t="n">
        <x:v>7</x:v>
      </x:c>
      <x:c r="F21" s="61" t="n">
        <x:v>0.7209905998905539</x:v>
      </x:c>
      <x:c r="G21" s="61" t="n">
        <x:v>0.0398884585092377</x:v>
      </x:c>
      <x:c r="H21" s="61" t="n">
        <x:v>0.5985297395639837</x:v>
      </x:c>
      <x:c r="I21" s="55" t="str">
        <x:v>iqp_zz_current_20q_complementary_signed_sqrt</x:v>
      </x:c>
      <x:c r="J21" s="55" t="n">
        <x:v>570</x:v>
      </x:c>
      <x:c r="K21" s="55" t="n">
        <x:v>142</x:v>
      </x:c>
      <x:c r="L21" s="58" t="n">
        <x:v>5</x:v>
      </x:c>
      <x:c r="M21" s="61" t="n">
        <x:v>0.6326530612244898</x:v>
      </x:c>
      <x:c r="N21" s="61" t="n">
        <x:v>0.9247311827956989</x:v>
      </x:c>
      <x:c r="O21" s="61" t="n">
        <x:v>0.3368541965407621</x:v>
      </x:c>
      <x:c r="P21" s="58" t="n">
        <x:v>86</x:v>
      </x:c>
      <x:c r="Q21" s="58" t="n">
        <x:v>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5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</x:cols>
  <x:sheetData>
    <x:row r="1" ht="38" customHeight="1">
      <x:c r="A1" s="49" t="str">
        <x:v>LEFT_MODEL</x:v>
      </x:c>
      <x:c r="B1" s="49" t="str">
        <x:v>RIGHT_MODEL</x:v>
      </x:c>
      <x:c r="C1" s="49" t="str">
        <x:v>METRIC</x:v>
      </x:c>
      <x:c r="D1" s="49" t="str">
        <x:v>OBSERVED_DELTA</x:v>
      </x:c>
      <x:c r="E1" s="49" t="str">
        <x:v>BOOTSTRAP_MEDIAN</x:v>
      </x:c>
      <x:c r="F1" s="49" t="str">
        <x:v>CI_LOW_95</x:v>
      </x:c>
      <x:c r="G1" s="49" t="str">
        <x:v>CI_HIGH_95</x:v>
      </x:c>
      <x:c r="H1" s="49" t="str">
        <x:v>P_DELTA_GT_0</x:v>
      </x:c>
      <x:c r="I1" s="49" t="str">
        <x:v>REPLICATES</x:v>
      </x:c>
      <x:c r="J1" s="49" t="str">
        <x:v>RESAMPLING_UNIT</x:v>
      </x:c>
      <x:c r="K1" s="49" t="str">
        <x:v>SEED</x:v>
      </x:c>
    </x:row>
    <x:row r="2">
      <x:c r="A2" s="53" t="str">
        <x:v>iqp_zz_current_20q_idle_control</x:v>
      </x:c>
      <x:c r="B2" s="53" t="str">
        <x:v>quantum_iqp_zz_linear</x:v>
      </x:c>
      <x:c r="C2" s="53" t="str">
        <x:v>MCC</x:v>
      </x:c>
      <x:c r="D2" s="53" t="n">
        <x:v>0</x:v>
      </x:c>
      <x:c r="E2" s="59" t="n">
        <x:v>0</x:v>
      </x:c>
      <x:c r="F2" s="59" t="n">
        <x:v>0</x:v>
      </x:c>
      <x:c r="G2" s="59" t="n">
        <x:v>0</x:v>
      </x:c>
      <x:c r="H2" s="59" t="n">
        <x:v>0</x:v>
      </x:c>
      <x:c r="I2" s="56" t="n">
        <x:v>2000</x:v>
      </x:c>
      <x:c r="J2" s="53" t="str">
        <x:v>BUTINA_CLUSTER_ID</x:v>
      </x:c>
      <x:c r="K2" s="53" t="n">
        <x:v>20260824</x:v>
      </x:c>
    </x:row>
    <x:row r="3">
      <x:c r="A3" s="54" t="str">
        <x:v>iqp_zz_current_20q_duplicate</x:v>
      </x:c>
      <x:c r="B3" s="54" t="str">
        <x:v>quantum_iqp_zz_linear</x:v>
      </x:c>
      <x:c r="C3" s="54" t="str">
        <x:v>MCC</x:v>
      </x:c>
      <x:c r="D3" s="54" t="n">
        <x:v>0.031367460742685316</x:v>
      </x:c>
      <x:c r="E3" s="60" t="n">
        <x:v>0.031837232856650216</x:v>
      </x:c>
      <x:c r="F3" s="60" t="n">
        <x:v>-0.0119792000847458</x:v>
      </x:c>
      <x:c r="G3" s="60" t="n">
        <x:v>0.06956753259441519</x:v>
      </x:c>
      <x:c r="H3" s="60" t="n">
        <x:v>0.9355</x:v>
      </x:c>
      <x:c r="I3" s="57" t="n">
        <x:v>2000</x:v>
      </x:c>
      <x:c r="J3" s="54" t="str">
        <x:v>BUTINA_CLUSTER_ID</x:v>
      </x:c>
      <x:c r="K3" s="54" t="n">
        <x:v>20260824</x:v>
      </x:c>
    </x:row>
    <x:row r="4">
      <x:c r="A4" s="54" t="str">
        <x:v>iqp_zz_current_20q_complementary_signed_sqrt</x:v>
      </x:c>
      <x:c r="B4" s="54" t="str">
        <x:v>quantum_iqp_zz_linear</x:v>
      </x:c>
      <x:c r="C4" s="54" t="str">
        <x:v>MCC</x:v>
      </x:c>
      <x:c r="D4" s="54" t="n">
        <x:v>0.02553385234594774</x:v>
      </x:c>
      <x:c r="E4" s="60" t="n">
        <x:v>0.024283489896658184</x:v>
      </x:c>
      <x:c r="F4" s="60" t="n">
        <x:v>0</x:v>
      </x:c>
      <x:c r="G4" s="60" t="n">
        <x:v>0.06059896213810285</x:v>
      </x:c>
      <x:c r="H4" s="60" t="n">
        <x:v>0.9735</x:v>
      </x:c>
      <x:c r="I4" s="57" t="n">
        <x:v>2000</x:v>
      </x:c>
      <x:c r="J4" s="54" t="str">
        <x:v>BUTINA_CLUSTER_ID</x:v>
      </x:c>
      <x:c r="K4" s="54" t="n">
        <x:v>20260824</x:v>
      </x:c>
    </x:row>
    <x:row r="5">
      <x:c r="A5" s="55" t="str">
        <x:v>iqp_zz_current_20q_complementary_signed_sqrt</x:v>
      </x:c>
      <x:c r="B5" s="55" t="str">
        <x:v>iqp_zz_current_20q_duplicate</x:v>
      </x:c>
      <x:c r="C5" s="55" t="str">
        <x:v>MCC</x:v>
      </x:c>
      <x:c r="D5" s="55" t="n">
        <x:v>-0.005833608396737577</x:v>
      </x:c>
      <x:c r="E5" s="61" t="n">
        <x:v>-0.006801631870961861</x:v>
      </x:c>
      <x:c r="F5" s="61" t="n">
        <x:v>-0.051134571183740235</x:v>
      </x:c>
      <x:c r="G5" s="61" t="n">
        <x:v>0.047794442052406884</x:v>
      </x:c>
      <x:c r="H5" s="61" t="n">
        <x:v>0.3905</x:v>
      </x:c>
      <x:c r="I5" s="58" t="n">
        <x:v>2000</x:v>
      </x:c>
      <x:c r="J5" s="55" t="str">
        <x:v>BUTINA_CLUSTER_ID</x:v>
      </x:c>
      <x:c r="K5" s="55" t="n">
        <x:v>20260824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  <x:col min="7" max="7" width="16" hidden="0" customWidth="1"/>
    <x:col min="8" max="8" width="16" hidden="0" customWidth="1"/>
  </x:cols>
  <x:sheetData>
    <x:row r="1" ht="38" customHeight="1">
      <x:c r="A1" s="49" t="str">
        <x:v>BEST_PARAMS</x:v>
      </x:c>
      <x:c r="B1" s="49" t="str">
        <x:v>INNER_AUROC_MEAN</x:v>
      </x:c>
      <x:c r="C1" s="49" t="str">
        <x:v>INNER_AUROC_SD</x:v>
      </x:c>
      <x:c r="D1" s="49" t="str">
        <x:v>INNER_THRESHOLD_BA</x:v>
      </x:c>
      <x:c r="E1" s="49" t="str">
        <x:v>INNER_THRESHOLD_MCC</x:v>
      </x:c>
      <x:c r="F1" s="49" t="str">
        <x:v>MODEL</x:v>
      </x:c>
      <x:c r="G1" s="49" t="str">
        <x:v>OUTER_FOLD</x:v>
      </x:c>
      <x:c r="H1" s="49" t="str">
        <x:v>THRESHOLD</x:v>
      </x:c>
    </x:row>
    <x:row r="2">
      <x:c r="A2" s="53" t="str">
        <x:v>{"C": 10.0, "feature_scale": 0.125, "interaction_strength": 1.0}</x:v>
      </x:c>
      <x:c r="B2" s="59" t="n">
        <x:v>0.8067852561900182</x:v>
      </x:c>
      <x:c r="C2" s="59" t="n">
        <x:v>0.0430922482057872</x:v>
      </x:c>
      <x:c r="D2" s="59" t="n">
        <x:v>0.7395632357464419</x:v>
      </x:c>
      <x:c r="E2" s="59" t="n">
        <x:v>0.5571271194121862</x:v>
      </x:c>
      <x:c r="F2" s="53" t="str">
        <x:v>quantum_iqp_zz_linear</x:v>
      </x:c>
      <x:c r="G2" s="56" t="n">
        <x:v>1</x:v>
      </x:c>
      <x:c r="H2" s="59" t="n">
        <x:v>0.18260755653527475</x:v>
      </x:c>
    </x:row>
    <x:row r="3">
      <x:c r="A3" s="54" t="str">
        <x:v>{"C": 1.0, "feature_scale": 0.125, "interaction_strength": 1.0}</x:v>
      </x:c>
      <x:c r="B3" s="60" t="n">
        <x:v>0.7455693562039991</x:v>
      </x:c>
      <x:c r="C3" s="60" t="n">
        <x:v>0.10767741868774985</x:v>
      </x:c>
      <x:c r="D3" s="60" t="n">
        <x:v>0.6866337901882925</x:v>
      </x:c>
      <x:c r="E3" s="60" t="n">
        <x:v>0.5026616856907025</x:v>
      </x:c>
      <x:c r="F3" s="54" t="str">
        <x:v>quantum_iqp_zz_linear</x:v>
      </x:c>
      <x:c r="G3" s="57" t="n">
        <x:v>2</x:v>
      </x:c>
      <x:c r="H3" s="60" t="n">
        <x:v>0.1769772718214202</x:v>
      </x:c>
    </x:row>
    <x:row r="4">
      <x:c r="A4" s="54" t="str">
        <x:v>{"C": 1.0, "feature_scale": 0.125, "interaction_strength": 1.0}</x:v>
      </x:c>
      <x:c r="B4" s="60" t="n">
        <x:v>0.7104293204391645</x:v>
      </x:c>
      <x:c r="C4" s="60" t="n">
        <x:v>0.11820838815403482</x:v>
      </x:c>
      <x:c r="D4" s="60" t="n">
        <x:v>0.6718705547652917</x:v>
      </x:c>
      <x:c r="E4" s="60" t="n">
        <x:v>0.4781371967809245</x:v>
      </x:c>
      <x:c r="F4" s="54" t="str">
        <x:v>quantum_iqp_zz_linear</x:v>
      </x:c>
      <x:c r="G4" s="57" t="n">
        <x:v>3</x:v>
      </x:c>
      <x:c r="H4" s="60" t="n">
        <x:v>0.43582441750255496</x:v>
      </x:c>
    </x:row>
    <x:row r="5">
      <x:c r="A5" s="54" t="str">
        <x:v>{"C": 0.1, "feature_scale": 0.5, "interaction_strength": 1.0}</x:v>
      </x:c>
      <x:c r="B5" s="60" t="n">
        <x:v>0.7096252460181923</x:v>
      </x:c>
      <x:c r="C5" s="60" t="n">
        <x:v>0.14972749818398015</x:v>
      </x:c>
      <x:c r="D5" s="60" t="n">
        <x:v>0.6639770605494799</x:v>
      </x:c>
      <x:c r="E5" s="60" t="n">
        <x:v>0.4615100550116057</x:v>
      </x:c>
      <x:c r="F5" s="54" t="str">
        <x:v>quantum_iqp_zz_linear</x:v>
      </x:c>
      <x:c r="G5" s="57" t="n">
        <x:v>4</x:v>
      </x:c>
      <x:c r="H5" s="60" t="n">
        <x:v>0.06535323416911916</x:v>
      </x:c>
    </x:row>
    <x:row r="6">
      <x:c r="A6" s="54" t="str">
        <x:v>{"C": 1.0, "feature_scale": 0.125, "interaction_strength": 1.0}</x:v>
      </x:c>
      <x:c r="B6" s="60" t="n">
        <x:v>0.7269897232960126</x:v>
      </x:c>
      <x:c r="C6" s="60" t="n">
        <x:v>0.053740423929951604</x:v>
      </x:c>
      <x:c r="D6" s="60" t="n">
        <x:v>0.6879413520478734</x:v>
      </x:c>
      <x:c r="E6" s="60" t="n">
        <x:v>0.47830595973682105</x:v>
      </x:c>
      <x:c r="F6" s="54" t="str">
        <x:v>quantum_iqp_zz_linear</x:v>
      </x:c>
      <x:c r="G6" s="57" t="n">
        <x:v>5</x:v>
      </x:c>
      <x:c r="H6" s="60" t="n">
        <x:v>0.06840351123842597</x:v>
      </x:c>
    </x:row>
    <x:row r="7">
      <x:c r="A7" s="54" t="str">
        <x:v>{"C": 10.0, "feature_scale": 0.125, "interaction_strength": 1.0}</x:v>
      </x:c>
      <x:c r="B7" s="60" t="n">
        <x:v>0.8067852561900182</x:v>
      </x:c>
      <x:c r="C7" s="60" t="n">
        <x:v>0.0430922482057872</x:v>
      </x:c>
      <x:c r="D7" s="60" t="n">
        <x:v>0.7395632357464419</x:v>
      </x:c>
      <x:c r="E7" s="60" t="n">
        <x:v>0.5571271194121862</x:v>
      </x:c>
      <x:c r="F7" s="54" t="str">
        <x:v>iqp_zz_current_20q_idle_control</x:v>
      </x:c>
      <x:c r="G7" s="57" t="n">
        <x:v>1</x:v>
      </x:c>
      <x:c r="H7" s="60" t="n">
        <x:v>0.18260755653527475</x:v>
      </x:c>
    </x:row>
    <x:row r="8">
      <x:c r="A8" s="54" t="str">
        <x:v>{"C": 1.0, "feature_scale": 0.125, "interaction_strength": 1.0}</x:v>
      </x:c>
      <x:c r="B8" s="60" t="n">
        <x:v>0.7455693562039991</x:v>
      </x:c>
      <x:c r="C8" s="60" t="n">
        <x:v>0.10767741868774985</x:v>
      </x:c>
      <x:c r="D8" s="60" t="n">
        <x:v>0.6866337901882925</x:v>
      </x:c>
      <x:c r="E8" s="60" t="n">
        <x:v>0.5026616856907025</x:v>
      </x:c>
      <x:c r="F8" s="54" t="str">
        <x:v>iqp_zz_current_20q_idle_control</x:v>
      </x:c>
      <x:c r="G8" s="57" t="n">
        <x:v>2</x:v>
      </x:c>
      <x:c r="H8" s="60" t="n">
        <x:v>0.1769772718214202</x:v>
      </x:c>
    </x:row>
    <x:row r="9">
      <x:c r="A9" s="54" t="str">
        <x:v>{"C": 1.0, "feature_scale": 0.125, "interaction_strength": 1.0}</x:v>
      </x:c>
      <x:c r="B9" s="60" t="n">
        <x:v>0.7104293204391645</x:v>
      </x:c>
      <x:c r="C9" s="60" t="n">
        <x:v>0.11820838815403482</x:v>
      </x:c>
      <x:c r="D9" s="60" t="n">
        <x:v>0.6718705547652917</x:v>
      </x:c>
      <x:c r="E9" s="60" t="n">
        <x:v>0.4781371967809245</x:v>
      </x:c>
      <x:c r="F9" s="54" t="str">
        <x:v>iqp_zz_current_20q_idle_control</x:v>
      </x:c>
      <x:c r="G9" s="57" t="n">
        <x:v>3</x:v>
      </x:c>
      <x:c r="H9" s="60" t="n">
        <x:v>0.43582441750255496</x:v>
      </x:c>
    </x:row>
    <x:row r="10">
      <x:c r="A10" s="54" t="str">
        <x:v>{"C": 0.1, "feature_scale": 0.5, "interaction_strength": 1.0}</x:v>
      </x:c>
      <x:c r="B10" s="60" t="n">
        <x:v>0.7096252460181923</x:v>
      </x:c>
      <x:c r="C10" s="60" t="n">
        <x:v>0.14972749818398015</x:v>
      </x:c>
      <x:c r="D10" s="60" t="n">
        <x:v>0.6639770605494799</x:v>
      </x:c>
      <x:c r="E10" s="60" t="n">
        <x:v>0.4615100550116057</x:v>
      </x:c>
      <x:c r="F10" s="54" t="str">
        <x:v>iqp_zz_current_20q_idle_control</x:v>
      </x:c>
      <x:c r="G10" s="57" t="n">
        <x:v>4</x:v>
      </x:c>
      <x:c r="H10" s="60" t="n">
        <x:v>0.06535323416911916</x:v>
      </x:c>
    </x:row>
    <x:row r="11">
      <x:c r="A11" s="54" t="str">
        <x:v>{"C": 1.0, "feature_scale": 0.125, "interaction_strength": 1.0}</x:v>
      </x:c>
      <x:c r="B11" s="60" t="n">
        <x:v>0.7269897232960126</x:v>
      </x:c>
      <x:c r="C11" s="60" t="n">
        <x:v>0.053740423929951604</x:v>
      </x:c>
      <x:c r="D11" s="60" t="n">
        <x:v>0.6879413520478734</x:v>
      </x:c>
      <x:c r="E11" s="60" t="n">
        <x:v>0.47830595973682105</x:v>
      </x:c>
      <x:c r="F11" s="54" t="str">
        <x:v>iqp_zz_current_20q_idle_control</x:v>
      </x:c>
      <x:c r="G11" s="57" t="n">
        <x:v>5</x:v>
      </x:c>
      <x:c r="H11" s="60" t="n">
        <x:v>0.06840351123842597</x:v>
      </x:c>
    </x:row>
    <x:row r="12">
      <x:c r="A12" s="54" t="str">
        <x:v>{"C": 10.0, "feature_scale": 0.125, "interaction_strength": 1.0}</x:v>
      </x:c>
      <x:c r="B12" s="60" t="n">
        <x:v>0.8019865170486288</x:v>
      </x:c>
      <x:c r="C12" s="60" t="n">
        <x:v>0.043343171500425555</x:v>
      </x:c>
      <x:c r="D12" s="60" t="n">
        <x:v>0.7136216201101697</x:v>
      </x:c>
      <x:c r="E12" s="60" t="n">
        <x:v>0.5519520524278623</x:v>
      </x:c>
      <x:c r="F12" s="54" t="str">
        <x:v>iqp_zz_current_20q_duplicate</x:v>
      </x:c>
      <x:c r="G12" s="57" t="n">
        <x:v>1</x:v>
      </x:c>
      <x:c r="H12" s="60" t="n">
        <x:v>0.8142010192925456</x:v>
      </x:c>
    </x:row>
    <x:row r="13">
      <x:c r="A13" s="54" t="str">
        <x:v>{"C": 10.0, "feature_scale": 0.125, "interaction_strength": 1.0}</x:v>
      </x:c>
      <x:c r="B13" s="60" t="n">
        <x:v>0.7970256394169437</x:v>
      </x:c>
      <x:c r="C13" s="60" t="n">
        <x:v>0.04729453444598561</x:v>
      </x:c>
      <x:c r="D13" s="60" t="n">
        <x:v>0.7539076699382044</x:v>
      </x:c>
      <x:c r="E13" s="60" t="n">
        <x:v>0.5662073470129398</x:v>
      </x:c>
      <x:c r="F13" s="54" t="str">
        <x:v>iqp_zz_current_20q_complementary_signed_sqrt</x:v>
      </x:c>
      <x:c r="G13" s="57" t="n">
        <x:v>1</x:v>
      </x:c>
      <x:c r="H13" s="60" t="n">
        <x:v>0.07311033817959534</x:v>
      </x:c>
    </x:row>
    <x:row r="14">
      <x:c r="A14" s="54" t="str">
        <x:v>{"C": 1.0, "feature_scale": 0.125, "interaction_strength": 1.0}</x:v>
      </x:c>
      <x:c r="B14" s="60" t="n">
        <x:v>0.7395927583896456</x:v>
      </x:c>
      <x:c r="C14" s="60" t="n">
        <x:v>0.10447460167328243</x:v>
      </x:c>
      <x:c r="D14" s="60" t="n">
        <x:v>0.6781926476239273</x:v>
      </x:c>
      <x:c r="E14" s="60" t="n">
        <x:v>0.49568731985231507</x:v>
      </x:c>
      <x:c r="F14" s="54" t="str">
        <x:v>iqp_zz_current_20q_duplicate</x:v>
      </x:c>
      <x:c r="G14" s="57" t="n">
        <x:v>2</x:v>
      </x:c>
      <x:c r="H14" s="60" t="n">
        <x:v>0.6404579946990248</x:v>
      </x:c>
    </x:row>
    <x:row r="15">
      <x:c r="A15" s="54" t="str">
        <x:v>{"C": 1.0, "feature_scale": 0.125, "interaction_strength": 1.0}</x:v>
      </x:c>
      <x:c r="B15" s="60" t="n">
        <x:v>0.7300234639617582</x:v>
      </x:c>
      <x:c r="C15" s="60" t="n">
        <x:v>0.11397571487110524</x:v>
      </x:c>
      <x:c r="D15" s="60" t="n">
        <x:v>0.6911873959267325</x:v>
      </x:c>
      <x:c r="E15" s="60" t="n">
        <x:v>0.49992669559006553</x:v>
      </x:c>
      <x:c r="F15" s="54" t="str">
        <x:v>iqp_zz_current_20q_complementary_signed_sqrt</x:v>
      </x:c>
      <x:c r="G15" s="57" t="n">
        <x:v>2</x:v>
      </x:c>
      <x:c r="H15" s="60" t="n">
        <x:v>0.2600255075574885</x:v>
      </x:c>
    </x:row>
    <x:row r="16">
      <x:c r="A16" s="54" t="str">
        <x:v>{"C": 1.0, "feature_scale": 0.125, "interaction_strength": 1.0}</x:v>
      </x:c>
      <x:c r="B16" s="60" t="n">
        <x:v>0.6970417559277471</x:v>
      </x:c>
      <x:c r="C16" s="60" t="n">
        <x:v>0.12680573599003572</x:v>
      </x:c>
      <x:c r="D16" s="60" t="n">
        <x:v>0.6692389758179232</x:v>
      </x:c>
      <x:c r="E16" s="60" t="n">
        <x:v>0.4655290862984109</x:v>
      </x:c>
      <x:c r="F16" s="54" t="str">
        <x:v>iqp_zz_current_20q_duplicate</x:v>
      </x:c>
      <x:c r="G16" s="57" t="n">
        <x:v>3</x:v>
      </x:c>
      <x:c r="H16" s="60" t="n">
        <x:v>0.5297393622045521</x:v>
      </x:c>
    </x:row>
    <x:row r="17">
      <x:c r="A17" s="54" t="str">
        <x:v>{"C": 1.0, "feature_scale": 0.125, "interaction_strength": 1.0}</x:v>
      </x:c>
      <x:c r="B17" s="60" t="n">
        <x:v>0.6921146203563951</x:v>
      </x:c>
      <x:c r="C17" s="60" t="n">
        <x:v>0.1184688272346167</x:v>
      </x:c>
      <x:c r="D17" s="60" t="n">
        <x:v>0.6705547652916074</x:v>
      </x:c>
      <x:c r="E17" s="60" t="n">
        <x:v>0.47178360493773047</x:v>
      </x:c>
      <x:c r="F17" s="54" t="str">
        <x:v>iqp_zz_current_20q_complementary_signed_sqrt</x:v>
      </x:c>
      <x:c r="G17" s="57" t="n">
        <x:v>3</x:v>
      </x:c>
      <x:c r="H17" s="60" t="n">
        <x:v>0.6715404963362874</x:v>
      </x:c>
    </x:row>
    <x:row r="18">
      <x:c r="A18" s="54" t="str">
        <x:v>{"C": 1.0, "feature_scale": 0.25, "interaction_strength": 1.0}</x:v>
      </x:c>
      <x:c r="B18" s="60" t="n">
        <x:v>0.7111781614582922</x:v>
      </x:c>
      <x:c r="C18" s="60" t="n">
        <x:v>0.13026514762495042</x:v>
      </x:c>
      <x:c r="D18" s="60" t="n">
        <x:v>0.6714707255268071</x:v>
      </x:c>
      <x:c r="E18" s="60" t="n">
        <x:v>0.47944550184046675</x:v>
      </x:c>
      <x:c r="F18" s="54" t="str">
        <x:v>iqp_zz_current_20q_duplicate</x:v>
      </x:c>
      <x:c r="G18" s="57" t="n">
        <x:v>4</x:v>
      </x:c>
      <x:c r="H18" s="60" t="n">
        <x:v>0.6604132292522435</x:v>
      </x:c>
    </x:row>
    <x:row r="19">
      <x:c r="A19" s="54" t="str">
        <x:v>{"C": 0.1, "feature_scale": 0.125, "interaction_strength": 1.0}</x:v>
      </x:c>
      <x:c r="B19" s="60" t="n">
        <x:v>0.703085563199187</x:v>
      </x:c>
      <x:c r="C19" s="60" t="n">
        <x:v>0.12899556177292218</x:v>
      </x:c>
      <x:c r="D19" s="60" t="n">
        <x:v>0.6885169378500934</x:v>
      </x:c>
      <x:c r="E19" s="60" t="n">
        <x:v>0.5050145780257503</x:v>
      </x:c>
      <x:c r="F19" s="54" t="str">
        <x:v>iqp_zz_current_20q_complementary_signed_sqrt</x:v>
      </x:c>
      <x:c r="G19" s="57" t="n">
        <x:v>4</x:v>
      </x:c>
      <x:c r="H19" s="60" t="n">
        <x:v>-0.042525596571552624</x:v>
      </x:c>
    </x:row>
    <x:row r="20">
      <x:c r="A20" s="54" t="str">
        <x:v>{"C": 1.0, "feature_scale": 0.125, "interaction_strength": 1.0}</x:v>
      </x:c>
      <x:c r="B20" s="60" t="n">
        <x:v>0.72521840746011</x:v>
      </x:c>
      <x:c r="C20" s="60" t="n">
        <x:v>0.03526299758102712</x:v>
      </x:c>
      <x:c r="D20" s="60" t="n">
        <x:v>0.6678557388506282</x:v>
      </x:c>
      <x:c r="E20" s="60" t="n">
        <x:v>0.467417585248597</x:v>
      </x:c>
      <x:c r="F20" s="54" t="str">
        <x:v>iqp_zz_current_20q_duplicate</x:v>
      </x:c>
      <x:c r="G20" s="57" t="n">
        <x:v>5</x:v>
      </x:c>
      <x:c r="H20" s="60" t="n">
        <x:v>0.35285755194636653</x:v>
      </x:c>
    </x:row>
    <x:row r="21">
      <x:c r="A21" s="55" t="str">
        <x:v>{"C": 1.0, "feature_scale": 0.125, "interaction_strength": 1.0}</x:v>
      </x:c>
      <x:c r="B21" s="61" t="n">
        <x:v>0.7209905998905539</x:v>
      </x:c>
      <x:c r="C21" s="61" t="n">
        <x:v>0.0398884585092377</x:v>
      </x:c>
      <x:c r="D21" s="61" t="n">
        <x:v>0.6752668132380134</x:v>
      </x:c>
      <x:c r="E21" s="61" t="n">
        <x:v>0.4767764105470726</x:v>
      </x:c>
      <x:c r="F21" s="55" t="str">
        <x:v>iqp_zz_current_20q_complementary_signed_sqrt</x:v>
      </x:c>
      <x:c r="G21" s="58" t="n">
        <x:v>5</x:v>
      </x:c>
      <x:c r="H21" s="61" t="n">
        <x:v>0.3368541965407621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8" customHeight="1">
      <x:c r="A1" s="49" t="str">
        <x:v>MODEL</x:v>
      </x:c>
      <x:c r="B1" s="49" t="str">
        <x:v>SUBSET_SAMPLES</x:v>
      </x:c>
      <x:c r="C1" s="49" t="str">
        <x:v>QUBITS</x:v>
      </x:c>
      <x:c r="D1" s="49" t="str">
        <x:v>STATEVECTOR_DIMENSION</x:v>
      </x:c>
      <x:c r="E1" s="49" t="str">
        <x:v>BYTES_PER_STATEVECTOR</x:v>
      </x:c>
      <x:c r="F1" s="49" t="str">
        <x:v>MATERIALIZED_SECONDS</x:v>
      </x:c>
      <x:c r="G1" s="49" t="str">
        <x:v>OPTIMIZED_SECONDS</x:v>
      </x:c>
      <x:c r="H1" s="49" t="str">
        <x:v>MAX_KERNEL_ERROR</x:v>
      </x:c>
      <x:c r="I1" s="49" t="str">
        <x:v>RSS_BEFORE_BYTES</x:v>
      </x:c>
      <x:c r="J1" s="49" t="str">
        <x:v>RSS_AFTER_MATERIALIZATION_BYTES</x:v>
      </x:c>
      <x:c r="K1" s="49" t="str">
        <x:v>SYMMETRY_ERROR</x:v>
      </x:c>
      <x:c r="L1" s="49" t="str">
        <x:v>DIAGONAL_ERROR</x:v>
      </x:c>
      <x:c r="M1" s="49" t="str">
        <x:v>MIN_EIGENVALUE</x:v>
      </x:c>
      <x:c r="N1" s="49" t="str">
        <x:v>PASS</x:v>
      </x:c>
    </x:row>
    <x:row r="2">
      <x:c r="A2" s="53" t="str">
        <x:v>iqp_zz_current_20q_duplicate</x:v>
      </x:c>
      <x:c r="B2" s="53" t="n">
        <x:v>3</x:v>
      </x:c>
      <x:c r="C2" s="53" t="n">
        <x:v>20</x:v>
      </x:c>
      <x:c r="D2" s="56" t="n">
        <x:v>1048576</x:v>
      </x:c>
      <x:c r="E2" s="56" t="n">
        <x:v>16777216</x:v>
      </x:c>
      <x:c r="F2" s="59" t="n">
        <x:v>0.34027570000034757</x:v>
      </x:c>
      <x:c r="G2" s="59" t="n">
        <x:v>0.00028029999884893186</x:v>
      </x:c>
      <x:c r="H2" s="59" t="n">
        <x:v>4.907185768843192e-14</x:v>
      </x:c>
      <x:c r="I2" s="56" t="n">
        <x:v>193925120</x:v>
      </x:c>
      <x:c r="J2" s="56" t="n">
        <x:v>244985856</x:v>
      </x:c>
      <x:c r="K2" s="59" t="n">
        <x:v>0</x:v>
      </x:c>
      <x:c r="L2" s="59" t="n">
        <x:v>0</x:v>
      </x:c>
      <x:c r="M2" s="59" t="n">
        <x:v>0.4223441931068748</x:v>
      </x:c>
      <x:c r="N2" s="64" t="b">
        <x:v>1</x:v>
      </x:c>
    </x:row>
    <x:row r="3">
      <x:c r="A3" s="55" t="str">
        <x:v>iqp_zz_current_20q_complementary_signed_sqrt</x:v>
      </x:c>
      <x:c r="B3" s="55" t="n">
        <x:v>3</x:v>
      </x:c>
      <x:c r="C3" s="55" t="n">
        <x:v>20</x:v>
      </x:c>
      <x:c r="D3" s="58" t="n">
        <x:v>1048576</x:v>
      </x:c>
      <x:c r="E3" s="58" t="n">
        <x:v>16777216</x:v>
      </x:c>
      <x:c r="F3" s="61" t="n">
        <x:v>0.34107720000247355</x:v>
      </x:c>
      <x:c r="G3" s="61" t="n">
        <x:v>0.000363799998012837</x:v>
      </x:c>
      <x:c r="H3" s="61" t="n">
        <x:v>2.4424906541753444e-15</x:v>
      </x:c>
      <x:c r="I3" s="58" t="n">
        <x:v>193925120</x:v>
      </x:c>
      <x:c r="J3" s="58" t="n">
        <x:v>245125120</x:v>
      </x:c>
      <x:c r="K3" s="61" t="n">
        <x:v>0</x:v>
      </x:c>
      <x:c r="L3" s="61" t="n">
        <x:v>0</x:v>
      </x:c>
      <x:c r="M3" s="61" t="n">
        <x:v>0.4008788406655634</x:v>
      </x:c>
      <x:c r="N3" s="65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8" customHeight="1">
      <x:c r="A1" s="49" t="str">
        <x:v>N_MATCHED</x:v>
      </x:c>
      <x:c r="B1" s="49" t="str">
        <x:v>PARAMETERS_EXACT_MATCH</x:v>
      </x:c>
      <x:c r="C1" s="49" t="str">
        <x:v>PREDICTIONS_EXACT_MATCH</x:v>
      </x:c>
      <x:c r="D1" s="49" t="str">
        <x:v>MAX_ABS_SCORE_ERROR</x:v>
      </x:c>
      <x:c r="E1" s="49" t="str">
        <x:v>MAX_ABS_THRESHOLD_ERROR</x:v>
      </x:c>
      <x:c r="F1" s="49" t="str">
        <x:v>NUMERIC_TOLERANCE</x:v>
      </x:c>
      <x:c r="G1" s="49" t="str">
        <x:v>PASS</x:v>
      </x:c>
    </x:row>
    <x:row r="2">
      <x:c r="A2" s="68" t="n">
        <x:v>712</x:v>
      </x:c>
      <x:c r="B2" s="69" t="b">
        <x:v>1</x:v>
      </x:c>
      <x:c r="C2" s="69" t="b">
        <x:v>1</x:v>
      </x:c>
      <x:c r="D2" s="70" t="n">
        <x:v>4.440892098500626e-16</x:v>
      </x:c>
      <x:c r="E2" s="70" t="n">
        <x:v>6.938893903907228e-17</x:v>
      </x:c>
      <x:c r="F2" s="68" t="n">
        <x:v>1e-8</x:v>
      </x:c>
      <x:c r="G2" s="69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49" t="str">
        <x:v>MODEL</x:v>
      </x:c>
      <x:c r="B1" s="49" t="str">
        <x:v>N</x:v>
      </x:c>
      <x:c r="C1" s="49" t="str">
        <x:v>AUROC</x:v>
      </x:c>
      <x:c r="D1" s="49" t="str">
        <x:v>AUPRC</x:v>
      </x:c>
      <x:c r="E1" s="49" t="str">
        <x:v>BALANCED_ACCURACY</x:v>
      </x:c>
      <x:c r="F1" s="49" t="str">
        <x:v>MCC</x:v>
      </x:c>
      <x:c r="G1" s="49" t="str">
        <x:v>SENSITIVITY</x:v>
      </x:c>
      <x:c r="H1" s="49" t="str">
        <x:v>SPECIFICITY</x:v>
      </x:c>
      <x:c r="I1" s="49" t="str">
        <x:v>TP</x:v>
      </x:c>
      <x:c r="J1" s="49" t="str">
        <x:v>TN</x:v>
      </x:c>
      <x:c r="K1" s="49" t="str">
        <x:v>FP</x:v>
      </x:c>
      <x:c r="L1" s="49" t="str">
        <x:v>FN</x:v>
      </x:c>
    </x:row>
    <x:row r="2">
      <x:c r="A2" s="53" t="str">
        <x:v>quantum_iqp_zz_linear</x:v>
      </x:c>
      <x:c r="B2" s="56" t="n">
        <x:v>8</x:v>
      </x:c>
      <x:c r="C2" s="59" t="n">
        <x:v>0.5</x:v>
      </x:c>
      <x:c r="D2" s="59" t="n">
        <x:v>0.39285714285714285</x:v>
      </x:c>
      <x:c r="E2" s="59" t="n">
        <x:v>0.5</x:v>
      </x:c>
      <x:c r="F2" s="59" t="n">
        <x:v>0</x:v>
      </x:c>
      <x:c r="G2" s="59" t="n">
        <x:v>0</x:v>
      </x:c>
      <x:c r="H2" s="59" t="n">
        <x:v>1</x:v>
      </x:c>
      <x:c r="I2" s="56" t="n">
        <x:v>0</x:v>
      </x:c>
      <x:c r="J2" s="56" t="n">
        <x:v>6</x:v>
      </x:c>
      <x:c r="K2" s="56" t="n">
        <x:v>0</x:v>
      </x:c>
      <x:c r="L2" s="56" t="n">
        <x:v>2</x:v>
      </x:c>
    </x:row>
    <x:row r="3">
      <x:c r="A3" s="54" t="str">
        <x:v>iqp_zz_current_20q_idle_control</x:v>
      </x:c>
      <x:c r="B3" s="57" t="n">
        <x:v>8</x:v>
      </x:c>
      <x:c r="C3" s="60" t="n">
        <x:v>0.5</x:v>
      </x:c>
      <x:c r="D3" s="60" t="n">
        <x:v>0.39285714285714285</x:v>
      </x:c>
      <x:c r="E3" s="60" t="n">
        <x:v>0.5</x:v>
      </x:c>
      <x:c r="F3" s="60" t="n">
        <x:v>0</x:v>
      </x:c>
      <x:c r="G3" s="60" t="n">
        <x:v>0</x:v>
      </x:c>
      <x:c r="H3" s="60" t="n">
        <x:v>1</x:v>
      </x:c>
      <x:c r="I3" s="57" t="n">
        <x:v>0</x:v>
      </x:c>
      <x:c r="J3" s="57" t="n">
        <x:v>6</x:v>
      </x:c>
      <x:c r="K3" s="57" t="n">
        <x:v>0</x:v>
      </x:c>
      <x:c r="L3" s="57" t="n">
        <x:v>2</x:v>
      </x:c>
    </x:row>
    <x:row r="4">
      <x:c r="A4" s="54" t="str">
        <x:v>iqp_zz_current_20q_duplicate</x:v>
      </x:c>
      <x:c r="B4" s="57" t="n">
        <x:v>8</x:v>
      </x:c>
      <x:c r="C4" s="60" t="n">
        <x:v>0.5</x:v>
      </x:c>
      <x:c r="D4" s="60" t="n">
        <x:v>0.39285714285714285</x:v>
      </x:c>
      <x:c r="E4" s="60" t="n">
        <x:v>0.5</x:v>
      </x:c>
      <x:c r="F4" s="60" t="n">
        <x:v>0</x:v>
      </x:c>
      <x:c r="G4" s="60" t="n">
        <x:v>0</x:v>
      </x:c>
      <x:c r="H4" s="60" t="n">
        <x:v>1</x:v>
      </x:c>
      <x:c r="I4" s="57" t="n">
        <x:v>0</x:v>
      </x:c>
      <x:c r="J4" s="57" t="n">
        <x:v>6</x:v>
      </x:c>
      <x:c r="K4" s="57" t="n">
        <x:v>0</x:v>
      </x:c>
      <x:c r="L4" s="57" t="n">
        <x:v>2</x:v>
      </x:c>
    </x:row>
    <x:row r="5">
      <x:c r="A5" s="55" t="str">
        <x:v>iqp_zz_current_20q_complementary_signed_sqrt</x:v>
      </x:c>
      <x:c r="B5" s="58" t="n">
        <x:v>8</x:v>
      </x:c>
      <x:c r="C5" s="61" t="n">
        <x:v>0.5833333333333333</x:v>
      </x:c>
      <x:c r="D5" s="61" t="n">
        <x:v>0.6428571428571428</x:v>
      </x:c>
      <x:c r="E5" s="61" t="n">
        <x:v>0.5</x:v>
      </x:c>
      <x:c r="F5" s="61" t="n">
        <x:v>0</x:v>
      </x:c>
      <x:c r="G5" s="61" t="n">
        <x:v>0</x:v>
      </x:c>
      <x:c r="H5" s="61" t="n">
        <x:v>1</x:v>
      </x:c>
      <x:c r="I5" s="58" t="n">
        <x:v>0</x:v>
      </x:c>
      <x:c r="J5" s="58" t="n">
        <x:v>6</x:v>
      </x:c>
      <x:c r="K5" s="58" t="n">
        <x:v>0</x:v>
      </x:c>
      <x:c r="L5" s="58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8" customHeight="1">
      <x:c r="A1" s="49" t="str">
        <x:v>ID</x:v>
      </x:c>
      <x:c r="B1" s="49" t="str">
        <x:v>name</x:v>
      </x:c>
      <x:c r="C1" s="49" t="str">
        <x:v>MODEL</x:v>
      </x:c>
      <x:c r="D1" s="49" t="str">
        <x:v>LABEL</x:v>
      </x:c>
      <x:c r="E1" s="49" t="str">
        <x:v>SCORE</x:v>
      </x:c>
      <x:c r="F1" s="49" t="str">
        <x:v>THRESHOLD</x:v>
      </x:c>
      <x:c r="G1" s="49" t="str">
        <x:v>MARGIN</x:v>
      </x:c>
      <x:c r="H1" s="49" t="str">
        <x:v>PRED</x:v>
      </x:c>
    </x:row>
    <x:row r="2">
      <x:c r="A2" s="53" t="n">
        <x:v>1</x:v>
      </x:c>
      <x:c r="B2" s="53" t="str">
        <x:v>Isotianil</x:v>
      </x:c>
      <x:c r="C2" s="53" t="str">
        <x:v>quantum_iqp_zz_linear</x:v>
      </x:c>
      <x:c r="D2" s="53" t="n">
        <x:v>0</x:v>
      </x:c>
      <x:c r="E2" s="53" t="n">
        <x:v>-0.9262367716465498</x:v>
      </x:c>
      <x:c r="F2" s="59" t="n">
        <x:v>0.38352092535744364</x:v>
      </x:c>
      <x:c r="G2" s="53" t="n">
        <x:v>-1.3097576970039935</x:v>
      </x:c>
      <x:c r="H2" s="53" t="n">
        <x:v>0</x:v>
      </x:c>
    </x:row>
    <x:row r="3">
      <x:c r="A3" s="54" t="n">
        <x:v>2</x:v>
      </x:c>
      <x:c r="B3" s="54" t="str">
        <x:v>Fluoxapiprolin</x:v>
      </x:c>
      <x:c r="C3" s="54" t="str">
        <x:v>quantum_iqp_zz_linear</x:v>
      </x:c>
      <x:c r="D3" s="54" t="n">
        <x:v>0</x:v>
      </x:c>
      <x:c r="E3" s="54" t="n">
        <x:v>0.01543662345590019</x:v>
      </x:c>
      <x:c r="F3" s="60" t="n">
        <x:v>0.38352092535744364</x:v>
      </x:c>
      <x:c r="G3" s="54" t="n">
        <x:v>-0.36808430190154345</x:v>
      </x:c>
      <x:c r="H3" s="54" t="n">
        <x:v>0</x:v>
      </x:c>
    </x:row>
    <x:row r="4">
      <x:c r="A4" s="54" t="n">
        <x:v>3</x:v>
      </x:c>
      <x:c r="B4" s="54" t="str">
        <x:v>Ethiprole</x:v>
      </x:c>
      <x:c r="C4" s="54" t="str">
        <x:v>quantum_iqp_zz_linear</x:v>
      </x:c>
      <x:c r="D4" s="54" t="n">
        <x:v>1</x:v>
      </x:c>
      <x:c r="E4" s="54" t="n">
        <x:v>-0.7974443099397706</x:v>
      </x:c>
      <x:c r="F4" s="60" t="n">
        <x:v>0.38352092535744364</x:v>
      </x:c>
      <x:c r="G4" s="54" t="n">
        <x:v>-1.1809652352972142</x:v>
      </x:c>
      <x:c r="H4" s="54" t="n">
        <x:v>0</x:v>
      </x:c>
    </x:row>
    <x:row r="5">
      <x:c r="A5" s="54" t="n">
        <x:v>4</x:v>
      </x:c>
      <x:c r="B5" s="54" t="str">
        <x:v>Cyclobutrifluram</x:v>
      </x:c>
      <x:c r="C5" s="54" t="str">
        <x:v>quantum_iqp_zz_linear</x:v>
      </x:c>
      <x:c r="D5" s="54" t="n">
        <x:v>0</x:v>
      </x:c>
      <x:c r="E5" s="54" t="n">
        <x:v>-0.35308530517565356</x:v>
      </x:c>
      <x:c r="F5" s="60" t="n">
        <x:v>0.38352092535744364</x:v>
      </x:c>
      <x:c r="G5" s="54" t="n">
        <x:v>-0.7366062305330972</x:v>
      </x:c>
      <x:c r="H5" s="54" t="n">
        <x:v>0</x:v>
      </x:c>
    </x:row>
    <x:row r="6">
      <x:c r="A6" s="54" t="n">
        <x:v>5</x:v>
      </x:c>
      <x:c r="B6" s="54" t="str">
        <x:v>Isoprothiolane</x:v>
      </x:c>
      <x:c r="C6" s="54" t="str">
        <x:v>quantum_iqp_zz_linear</x:v>
      </x:c>
      <x:c r="D6" s="54" t="n">
        <x:v>0</x:v>
      </x:c>
      <x:c r="E6" s="54" t="n">
        <x:v>-0.5083466343573257</x:v>
      </x:c>
      <x:c r="F6" s="60" t="n">
        <x:v>0.38352092535744364</x:v>
      </x:c>
      <x:c r="G6" s="54" t="n">
        <x:v>-0.8918675597147694</x:v>
      </x:c>
      <x:c r="H6" s="54" t="n">
        <x:v>0</x:v>
      </x:c>
    </x:row>
    <x:row r="7">
      <x:c r="A7" s="54" t="n">
        <x:v>6</x:v>
      </x:c>
      <x:c r="B7" s="54" t="str">
        <x:v>Isocycloseram</x:v>
      </x:c>
      <x:c r="C7" s="54" t="str">
        <x:v>quantum_iqp_zz_linear</x:v>
      </x:c>
      <x:c r="D7" s="54" t="n">
        <x:v>1</x:v>
      </x:c>
      <x:c r="E7" s="54" t="n">
        <x:v>-0.10000834921341656</x:v>
      </x:c>
      <x:c r="F7" s="60" t="n">
        <x:v>0.38352092535744364</x:v>
      </x:c>
      <x:c r="G7" s="54" t="n">
        <x:v>-0.4835292745708602</x:v>
      </x:c>
      <x:c r="H7" s="54" t="n">
        <x:v>0</x:v>
      </x:c>
    </x:row>
    <x:row r="8">
      <x:c r="A8" s="54" t="n">
        <x:v>7</x:v>
      </x:c>
      <x:c r="B8" s="54" t="str">
        <x:v>Spiropidion</x:v>
      </x:c>
      <x:c r="C8" s="54" t="str">
        <x:v>quantum_iqp_zz_linear</x:v>
      </x:c>
      <x:c r="D8" s="54" t="n">
        <x:v>0</x:v>
      </x:c>
      <x:c r="E8" s="54" t="n">
        <x:v>-0.38724529384108247</x:v>
      </x:c>
      <x:c r="F8" s="60" t="n">
        <x:v>0.38352092535744364</x:v>
      </x:c>
      <x:c r="G8" s="54" t="n">
        <x:v>-0.7707662191985261</x:v>
      </x:c>
      <x:c r="H8" s="54" t="n">
        <x:v>0</x:v>
      </x:c>
    </x:row>
    <x:row r="9">
      <x:c r="A9" s="54" t="n">
        <x:v>8</x:v>
      </x:c>
      <x:c r="B9" s="54" t="str">
        <x:v>Florylpicoxamid</x:v>
      </x:c>
      <x:c r="C9" s="54" t="str">
        <x:v>quantum_iqp_zz_linear</x:v>
      </x:c>
      <x:c r="D9" s="54" t="n">
        <x:v>0</x:v>
      </x:c>
      <x:c r="E9" s="54" t="n">
        <x:v>-0.5115565333739416</x:v>
      </x:c>
      <x:c r="F9" s="60" t="n">
        <x:v>0.38352092535744364</x:v>
      </x:c>
      <x:c r="G9" s="54" t="n">
        <x:v>-0.8950774587313852</x:v>
      </x:c>
      <x:c r="H9" s="54" t="n">
        <x:v>0</x:v>
      </x:c>
    </x:row>
    <x:row r="10">
      <x:c r="A10" s="54" t="n">
        <x:v>1</x:v>
      </x:c>
      <x:c r="B10" s="54" t="str">
        <x:v>Isotianil</x:v>
      </x:c>
      <x:c r="C10" s="54" t="str">
        <x:v>iqp_zz_current_20q_duplicate</x:v>
      </x:c>
      <x:c r="D10" s="54" t="n">
        <x:v>0</x:v>
      </x:c>
      <x:c r="E10" s="54" t="n">
        <x:v>-0.9991373652237125</x:v>
      </x:c>
      <x:c r="F10" s="60" t="n">
        <x:v>0.8890476888807625</x:v>
      </x:c>
      <x:c r="G10" s="54" t="n">
        <x:v>-1.8881850541044751</x:v>
      </x:c>
      <x:c r="H10" s="54" t="n">
        <x:v>0</x:v>
      </x:c>
    </x:row>
    <x:row r="11">
      <x:c r="A11" s="54" t="n">
        <x:v>2</x:v>
      </x:c>
      <x:c r="B11" s="54" t="str">
        <x:v>Fluoxapiprolin</x:v>
      </x:c>
      <x:c r="C11" s="54" t="str">
        <x:v>iqp_zz_current_20q_duplicate</x:v>
      </x:c>
      <x:c r="D11" s="54" t="n">
        <x:v>0</x:v>
      </x:c>
      <x:c r="E11" s="54" t="n">
        <x:v>0.09889988225624965</x:v>
      </x:c>
      <x:c r="F11" s="60" t="n">
        <x:v>0.8890476888807625</x:v>
      </x:c>
      <x:c r="G11" s="54" t="n">
        <x:v>-0.7901478066245128</x:v>
      </x:c>
      <x:c r="H11" s="54" t="n">
        <x:v>0</x:v>
      </x:c>
    </x:row>
    <x:row r="12">
      <x:c r="A12" s="54" t="n">
        <x:v>3</x:v>
      </x:c>
      <x:c r="B12" s="54" t="str">
        <x:v>Ethiprole</x:v>
      </x:c>
      <x:c r="C12" s="54" t="str">
        <x:v>iqp_zz_current_20q_duplicate</x:v>
      </x:c>
      <x:c r="D12" s="54" t="n">
        <x:v>1</x:v>
      </x:c>
      <x:c r="E12" s="54" t="n">
        <x:v>-0.7559174939404043</x:v>
      </x:c>
      <x:c r="F12" s="60" t="n">
        <x:v>0.8890476888807625</x:v>
      </x:c>
      <x:c r="G12" s="54" t="n">
        <x:v>-1.6449651828211667</x:v>
      </x:c>
      <x:c r="H12" s="54" t="n">
        <x:v>0</x:v>
      </x:c>
    </x:row>
    <x:row r="13">
      <x:c r="A13" s="54" t="n">
        <x:v>4</x:v>
      </x:c>
      <x:c r="B13" s="54" t="str">
        <x:v>Cyclobutrifluram</x:v>
      </x:c>
      <x:c r="C13" s="54" t="str">
        <x:v>iqp_zz_current_20q_duplicate</x:v>
      </x:c>
      <x:c r="D13" s="54" t="n">
        <x:v>0</x:v>
      </x:c>
      <x:c r="E13" s="54" t="n">
        <x:v>-0.2917462201568577</x:v>
      </x:c>
      <x:c r="F13" s="60" t="n">
        <x:v>0.8890476888807625</x:v>
      </x:c>
      <x:c r="G13" s="54" t="n">
        <x:v>-1.1807939090376203</x:v>
      </x:c>
      <x:c r="H13" s="54" t="n">
        <x:v>0</x:v>
      </x:c>
    </x:row>
    <x:row r="14">
      <x:c r="A14" s="54" t="n">
        <x:v>5</x:v>
      </x:c>
      <x:c r="B14" s="54" t="str">
        <x:v>Isoprothiolane</x:v>
      </x:c>
      <x:c r="C14" s="54" t="str">
        <x:v>iqp_zz_current_20q_duplicate</x:v>
      </x:c>
      <x:c r="D14" s="54" t="n">
        <x:v>0</x:v>
      </x:c>
      <x:c r="E14" s="54" t="n">
        <x:v>-0.24944360327787535</x:v>
      </x:c>
      <x:c r="F14" s="60" t="n">
        <x:v>0.8890476888807625</x:v>
      </x:c>
      <x:c r="G14" s="54" t="n">
        <x:v>-1.1384912921586379</x:v>
      </x:c>
      <x:c r="H14" s="54" t="n">
        <x:v>0</x:v>
      </x:c>
    </x:row>
    <x:row r="15">
      <x:c r="A15" s="54" t="n">
        <x:v>6</x:v>
      </x:c>
      <x:c r="B15" s="54" t="str">
        <x:v>Isocycloseram</x:v>
      </x:c>
      <x:c r="C15" s="54" t="str">
        <x:v>iqp_zz_current_20q_duplicate</x:v>
      </x:c>
      <x:c r="D15" s="54" t="n">
        <x:v>1</x:v>
      </x:c>
      <x:c r="E15" s="54" t="n">
        <x:v>0.03742580448760906</x:v>
      </x:c>
      <x:c r="F15" s="60" t="n">
        <x:v>0.8890476888807625</x:v>
      </x:c>
      <x:c r="G15" s="54" t="n">
        <x:v>-0.8516218843931534</x:v>
      </x:c>
      <x:c r="H15" s="54" t="n">
        <x:v>0</x:v>
      </x:c>
    </x:row>
    <x:row r="16">
      <x:c r="A16" s="54" t="n">
        <x:v>7</x:v>
      </x:c>
      <x:c r="B16" s="54" t="str">
        <x:v>Spiropidion</x:v>
      </x:c>
      <x:c r="C16" s="54" t="str">
        <x:v>iqp_zz_current_20q_duplicate</x:v>
      </x:c>
      <x:c r="D16" s="54" t="n">
        <x:v>0</x:v>
      </x:c>
      <x:c r="E16" s="54" t="n">
        <x:v>-0.2639644191708793</x:v>
      </x:c>
      <x:c r="F16" s="60" t="n">
        <x:v>0.8890476888807625</x:v>
      </x:c>
      <x:c r="G16" s="54" t="n">
        <x:v>-1.1530121080516418</x:v>
      </x:c>
      <x:c r="H16" s="54" t="n">
        <x:v>0</x:v>
      </x:c>
    </x:row>
    <x:row r="17">
      <x:c r="A17" s="54" t="n">
        <x:v>8</x:v>
      </x:c>
      <x:c r="B17" s="54" t="str">
        <x:v>Florylpicoxamid</x:v>
      </x:c>
      <x:c r="C17" s="54" t="str">
        <x:v>iqp_zz_current_20q_duplicate</x:v>
      </x:c>
      <x:c r="D17" s="54" t="n">
        <x:v>0</x:v>
      </x:c>
      <x:c r="E17" s="54" t="n">
        <x:v>-0.45529270788575993</x:v>
      </x:c>
      <x:c r="F17" s="60" t="n">
        <x:v>0.8890476888807625</x:v>
      </x:c>
      <x:c r="G17" s="54" t="n">
        <x:v>-1.3443403967665224</x:v>
      </x:c>
      <x:c r="H17" s="54" t="n">
        <x:v>0</x:v>
      </x:c>
    </x:row>
    <x:row r="18">
      <x:c r="A18" s="54" t="n">
        <x:v>1</x:v>
      </x:c>
      <x:c r="B18" s="54" t="str">
        <x:v>Isotianil</x:v>
      </x:c>
      <x:c r="C18" s="54" t="str">
        <x:v>iqp_zz_current_20q_complementary_signed_sqrt</x:v>
      </x:c>
      <x:c r="D18" s="54" t="n">
        <x:v>0</x:v>
      </x:c>
      <x:c r="E18" s="54" t="n">
        <x:v>-1.0653101803293799</x:v>
      </x:c>
      <x:c r="F18" s="60" t="n">
        <x:v>0.7725788170806321</x:v>
      </x:c>
      <x:c r="G18" s="54" t="n">
        <x:v>-1.8378889974100119</x:v>
      </x:c>
      <x:c r="H18" s="54" t="n">
        <x:v>0</x:v>
      </x:c>
    </x:row>
    <x:row r="19">
      <x:c r="A19" s="54" t="n">
        <x:v>2</x:v>
      </x:c>
      <x:c r="B19" s="54" t="str">
        <x:v>Fluoxapiprolin</x:v>
      </x:c>
      <x:c r="C19" s="54" t="str">
        <x:v>iqp_zz_current_20q_complementary_signed_sqrt</x:v>
      </x:c>
      <x:c r="D19" s="54" t="n">
        <x:v>0</x:v>
      </x:c>
      <x:c r="E19" s="54" t="n">
        <x:v>-0.007206021496794321</x:v>
      </x:c>
      <x:c r="F19" s="60" t="n">
        <x:v>0.7725788170806321</x:v>
      </x:c>
      <x:c r="G19" s="54" t="n">
        <x:v>-0.7797848385774264</x:v>
      </x:c>
      <x:c r="H19" s="54" t="n">
        <x:v>0</x:v>
      </x:c>
    </x:row>
    <x:row r="20">
      <x:c r="A20" s="54" t="n">
        <x:v>3</x:v>
      </x:c>
      <x:c r="B20" s="54" t="str">
        <x:v>Ethiprole</x:v>
      </x:c>
      <x:c r="C20" s="54" t="str">
        <x:v>iqp_zz_current_20q_complementary_signed_sqrt</x:v>
      </x:c>
      <x:c r="D20" s="54" t="n">
        <x:v>1</x:v>
      </x:c>
      <x:c r="E20" s="54" t="n">
        <x:v>-0.739537098648004</x:v>
      </x:c>
      <x:c r="F20" s="60" t="n">
        <x:v>0.7725788170806321</x:v>
      </x:c>
      <x:c r="G20" s="54" t="n">
        <x:v>-1.5121159157286361</x:v>
      </x:c>
      <x:c r="H20" s="54" t="n">
        <x:v>0</x:v>
      </x:c>
    </x:row>
    <x:row r="21">
      <x:c r="A21" s="54" t="n">
        <x:v>4</x:v>
      </x:c>
      <x:c r="B21" s="54" t="str">
        <x:v>Cyclobutrifluram</x:v>
      </x:c>
      <x:c r="C21" s="54" t="str">
        <x:v>iqp_zz_current_20q_complementary_signed_sqrt</x:v>
      </x:c>
      <x:c r="D21" s="54" t="n">
        <x:v>0</x:v>
      </x:c>
      <x:c r="E21" s="54" t="n">
        <x:v>-0.21195412918401008</x:v>
      </x:c>
      <x:c r="F21" s="60" t="n">
        <x:v>0.7725788170806321</x:v>
      </x:c>
      <x:c r="G21" s="54" t="n">
        <x:v>-0.9845329462646422</x:v>
      </x:c>
      <x:c r="H21" s="54" t="n">
        <x:v>0</x:v>
      </x:c>
    </x:row>
    <x:row r="22">
      <x:c r="A22" s="54" t="n">
        <x:v>5</x:v>
      </x:c>
      <x:c r="B22" s="54" t="str">
        <x:v>Isoprothiolane</x:v>
      </x:c>
      <x:c r="C22" s="54" t="str">
        <x:v>iqp_zz_current_20q_complementary_signed_sqrt</x:v>
      </x:c>
      <x:c r="D22" s="54" t="n">
        <x:v>0</x:v>
      </x:c>
      <x:c r="E22" s="54" t="n">
        <x:v>-0.40771529445690574</x:v>
      </x:c>
      <x:c r="F22" s="60" t="n">
        <x:v>0.7725788170806321</x:v>
      </x:c>
      <x:c r="G22" s="54" t="n">
        <x:v>-1.1802941115375378</x:v>
      </x:c>
      <x:c r="H22" s="54" t="n">
        <x:v>0</x:v>
      </x:c>
    </x:row>
    <x:row r="23">
      <x:c r="A23" s="54" t="n">
        <x:v>6</x:v>
      </x:c>
      <x:c r="B23" s="54" t="str">
        <x:v>Isocycloseram</x:v>
      </x:c>
      <x:c r="C23" s="54" t="str">
        <x:v>iqp_zz_current_20q_complementary_signed_sqrt</x:v>
      </x:c>
      <x:c r="D23" s="54" t="n">
        <x:v>1</x:v>
      </x:c>
      <x:c r="E23" s="54" t="n">
        <x:v>0.0009327643296944271</x:v>
      </x:c>
      <x:c r="F23" s="60" t="n">
        <x:v>0.7725788170806321</x:v>
      </x:c>
      <x:c r="G23" s="54" t="n">
        <x:v>-0.7716460527509377</x:v>
      </x:c>
      <x:c r="H23" s="54" t="n">
        <x:v>0</x:v>
      </x:c>
    </x:row>
    <x:row r="24">
      <x:c r="A24" s="54" t="n">
        <x:v>7</x:v>
      </x:c>
      <x:c r="B24" s="54" t="str">
        <x:v>Spiropidion</x:v>
      </x:c>
      <x:c r="C24" s="54" t="str">
        <x:v>iqp_zz_current_20q_complementary_signed_sqrt</x:v>
      </x:c>
      <x:c r="D24" s="54" t="n">
        <x:v>0</x:v>
      </x:c>
      <x:c r="E24" s="54" t="n">
        <x:v>-0.36292544817041644</x:v>
      </x:c>
      <x:c r="F24" s="60" t="n">
        <x:v>0.7725788170806321</x:v>
      </x:c>
      <x:c r="G24" s="54" t="n">
        <x:v>-1.1355042652510485</x:v>
      </x:c>
      <x:c r="H24" s="54" t="n">
        <x:v>0</x:v>
      </x:c>
    </x:row>
    <x:row r="25">
      <x:c r="A25" s="54" t="n">
        <x:v>8</x:v>
      </x:c>
      <x:c r="B25" s="54" t="str">
        <x:v>Florylpicoxamid</x:v>
      </x:c>
      <x:c r="C25" s="54" t="str">
        <x:v>iqp_zz_current_20q_complementary_signed_sqrt</x:v>
      </x:c>
      <x:c r="D25" s="54" t="n">
        <x:v>0</x:v>
      </x:c>
      <x:c r="E25" s="54" t="n">
        <x:v>-0.44169114397913595</x:v>
      </x:c>
      <x:c r="F25" s="60" t="n">
        <x:v>0.7725788170806321</x:v>
      </x:c>
      <x:c r="G25" s="54" t="n">
        <x:v>-1.214269961059768</x:v>
      </x:c>
      <x:c r="H25" s="54" t="n">
        <x:v>0</x:v>
      </x:c>
    </x:row>
    <x:row r="26">
      <x:c r="A26" s="54" t="n">
        <x:v>1</x:v>
      </x:c>
      <x:c r="B26" s="54" t="str">
        <x:v>Isotianil</x:v>
      </x:c>
      <x:c r="C26" s="54" t="str">
        <x:v>iqp_zz_current_20q_idle_control</x:v>
      </x:c>
      <x:c r="D26" s="54" t="n">
        <x:v>0</x:v>
      </x:c>
      <x:c r="E26" s="54" t="n">
        <x:v>-0.9262367716465498</x:v>
      </x:c>
      <x:c r="F26" s="60" t="n">
        <x:v>0.38352092535744364</x:v>
      </x:c>
      <x:c r="G26" s="54" t="n">
        <x:v>-1.3097576970039935</x:v>
      </x:c>
      <x:c r="H26" s="54" t="n">
        <x:v>0</x:v>
      </x:c>
    </x:row>
    <x:row r="27">
      <x:c r="A27" s="54" t="n">
        <x:v>2</x:v>
      </x:c>
      <x:c r="B27" s="54" t="str">
        <x:v>Fluoxapiprolin</x:v>
      </x:c>
      <x:c r="C27" s="54" t="str">
        <x:v>iqp_zz_current_20q_idle_control</x:v>
      </x:c>
      <x:c r="D27" s="54" t="n">
        <x:v>0</x:v>
      </x:c>
      <x:c r="E27" s="54" t="n">
        <x:v>0.01543662345590019</x:v>
      </x:c>
      <x:c r="F27" s="60" t="n">
        <x:v>0.38352092535744364</x:v>
      </x:c>
      <x:c r="G27" s="54" t="n">
        <x:v>-0.36808430190154345</x:v>
      </x:c>
      <x:c r="H27" s="54" t="n">
        <x:v>0</x:v>
      </x:c>
    </x:row>
    <x:row r="28">
      <x:c r="A28" s="54" t="n">
        <x:v>3</x:v>
      </x:c>
      <x:c r="B28" s="54" t="str">
        <x:v>Ethiprole</x:v>
      </x:c>
      <x:c r="C28" s="54" t="str">
        <x:v>iqp_zz_current_20q_idle_control</x:v>
      </x:c>
      <x:c r="D28" s="54" t="n">
        <x:v>1</x:v>
      </x:c>
      <x:c r="E28" s="54" t="n">
        <x:v>-0.7974443099397706</x:v>
      </x:c>
      <x:c r="F28" s="60" t="n">
        <x:v>0.38352092535744364</x:v>
      </x:c>
      <x:c r="G28" s="54" t="n">
        <x:v>-1.1809652352972142</x:v>
      </x:c>
      <x:c r="H28" s="54" t="n">
        <x:v>0</x:v>
      </x:c>
    </x:row>
    <x:row r="29">
      <x:c r="A29" s="54" t="n">
        <x:v>4</x:v>
      </x:c>
      <x:c r="B29" s="54" t="str">
        <x:v>Cyclobutrifluram</x:v>
      </x:c>
      <x:c r="C29" s="54" t="str">
        <x:v>iqp_zz_current_20q_idle_control</x:v>
      </x:c>
      <x:c r="D29" s="54" t="n">
        <x:v>0</x:v>
      </x:c>
      <x:c r="E29" s="54" t="n">
        <x:v>-0.35308530517565356</x:v>
      </x:c>
      <x:c r="F29" s="60" t="n">
        <x:v>0.38352092535744364</x:v>
      </x:c>
      <x:c r="G29" s="54" t="n">
        <x:v>-0.7366062305330972</x:v>
      </x:c>
      <x:c r="H29" s="54" t="n">
        <x:v>0</x:v>
      </x:c>
    </x:row>
    <x:row r="30">
      <x:c r="A30" s="54" t="n">
        <x:v>5</x:v>
      </x:c>
      <x:c r="B30" s="54" t="str">
        <x:v>Isoprothiolane</x:v>
      </x:c>
      <x:c r="C30" s="54" t="str">
        <x:v>iqp_zz_current_20q_idle_control</x:v>
      </x:c>
      <x:c r="D30" s="54" t="n">
        <x:v>0</x:v>
      </x:c>
      <x:c r="E30" s="54" t="n">
        <x:v>-0.5083466343573257</x:v>
      </x:c>
      <x:c r="F30" s="60" t="n">
        <x:v>0.38352092535744364</x:v>
      </x:c>
      <x:c r="G30" s="54" t="n">
        <x:v>-0.8918675597147694</x:v>
      </x:c>
      <x:c r="H30" s="54" t="n">
        <x:v>0</x:v>
      </x:c>
    </x:row>
    <x:row r="31">
      <x:c r="A31" s="54" t="n">
        <x:v>6</x:v>
      </x:c>
      <x:c r="B31" s="54" t="str">
        <x:v>Isocycloseram</x:v>
      </x:c>
      <x:c r="C31" s="54" t="str">
        <x:v>iqp_zz_current_20q_idle_control</x:v>
      </x:c>
      <x:c r="D31" s="54" t="n">
        <x:v>1</x:v>
      </x:c>
      <x:c r="E31" s="54" t="n">
        <x:v>-0.10000834921341656</x:v>
      </x:c>
      <x:c r="F31" s="60" t="n">
        <x:v>0.38352092535744364</x:v>
      </x:c>
      <x:c r="G31" s="54" t="n">
        <x:v>-0.4835292745708602</x:v>
      </x:c>
      <x:c r="H31" s="54" t="n">
        <x:v>0</x:v>
      </x:c>
    </x:row>
    <x:row r="32">
      <x:c r="A32" s="54" t="n">
        <x:v>7</x:v>
      </x:c>
      <x:c r="B32" s="54" t="str">
        <x:v>Spiropidion</x:v>
      </x:c>
      <x:c r="C32" s="54" t="str">
        <x:v>iqp_zz_current_20q_idle_control</x:v>
      </x:c>
      <x:c r="D32" s="54" t="n">
        <x:v>0</x:v>
      </x:c>
      <x:c r="E32" s="54" t="n">
        <x:v>-0.38724529384108247</x:v>
      </x:c>
      <x:c r="F32" s="60" t="n">
        <x:v>0.38352092535744364</x:v>
      </x:c>
      <x:c r="G32" s="54" t="n">
        <x:v>-0.7707662191985261</x:v>
      </x:c>
      <x:c r="H32" s="54" t="n">
        <x:v>0</x:v>
      </x:c>
    </x:row>
    <x:row r="33">
      <x:c r="A33" s="55" t="n">
        <x:v>8</x:v>
      </x:c>
      <x:c r="B33" s="55" t="str">
        <x:v>Florylpicoxamid</x:v>
      </x:c>
      <x:c r="C33" s="55" t="str">
        <x:v>iqp_zz_current_20q_idle_control</x:v>
      </x:c>
      <x:c r="D33" s="55" t="n">
        <x:v>0</x:v>
      </x:c>
      <x:c r="E33" s="55" t="n">
        <x:v>-0.5115565333739416</x:v>
      </x:c>
      <x:c r="F33" s="61" t="n">
        <x:v>0.38352092535744364</x:v>
      </x:c>
      <x:c r="G33" s="55" t="n">
        <x:v>-0.8950774587313852</x:v>
      </x:c>
      <x:c r="H33" s="55" t="n">
        <x:v>0</x:v>
      </x:c>
    </x:row>
  </x:sheetData>
  <x:pageMargins left="0.7" right="0.7" top="0.75" bottom="0.75" header="0.3" footer="0.3"/>
</x:worksheet>
</file>